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marc/Desktop/semantic_analysis/"/>
    </mc:Choice>
  </mc:AlternateContent>
  <xr:revisionPtr revIDLastSave="0" documentId="13_ncr:1_{8C6CDE94-190B-444D-AE5A-92828CABFD14}" xr6:coauthVersionLast="47" xr6:coauthVersionMax="47" xr10:uidLastSave="{00000000-0000-0000-0000-000000000000}"/>
  <bookViews>
    <workbookView xWindow="0" yWindow="760" windowWidth="30240" windowHeight="1768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6" i="2" l="1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<sst xmlns="http://schemas.openxmlformats.org/spreadsheetml/2006/main" count="1838" uniqueCount="480">
  <si>
    <t>keyword</t>
  </si>
  <si>
    <t>volume</t>
  </si>
  <si>
    <t>priority</t>
  </si>
  <si>
    <t>Category</t>
  </si>
  <si>
    <t>client_pos</t>
  </si>
  <si>
    <t>client_url</t>
  </si>
  <si>
    <t>cuisinesdovy.be_pos</t>
  </si>
  <si>
    <t>ixina.be_pos</t>
  </si>
  <si>
    <t>vandenborrekitchen.be_pos</t>
  </si>
  <si>
    <t>dsmcuisines.be_pos</t>
  </si>
  <si>
    <t>ilwa.be_pos</t>
  </si>
  <si>
    <t>has_ai_overview</t>
  </si>
  <si>
    <t>client_in_ai</t>
  </si>
  <si>
    <t>client_ai_sources</t>
  </si>
  <si>
    <t>cpc</t>
  </si>
  <si>
    <t>competition</t>
  </si>
  <si>
    <t>salle de bain meuble</t>
  </si>
  <si>
    <t>HIGH - Opp</t>
  </si>
  <si>
    <t>FAUX</t>
  </si>
  <si>
    <t>0,58</t>
  </si>
  <si>
    <t>HIGH</t>
  </si>
  <si>
    <t>cuisines</t>
  </si>
  <si>
    <t>1,56</t>
  </si>
  <si>
    <t>meuble salle de bains</t>
  </si>
  <si>
    <t>cuisiniste</t>
  </si>
  <si>
    <t>salle de bain</t>
  </si>
  <si>
    <t>0,71</t>
  </si>
  <si>
    <t>meubles cuisine</t>
  </si>
  <si>
    <t>0,36</t>
  </si>
  <si>
    <t>meuble cuisine</t>
  </si>
  <si>
    <t>ilot central cuisine</t>
  </si>
  <si>
    <t>0,53</t>
  </si>
  <si>
    <t>plan de travail</t>
  </si>
  <si>
    <t>0,31</t>
  </si>
  <si>
    <t>plan de travail pour une cuisine</t>
  </si>
  <si>
    <t>0,44</t>
  </si>
  <si>
    <t>plan de travail cuisine</t>
  </si>
  <si>
    <t>cuisine îlot central</t>
  </si>
  <si>
    <t>paroi de douche</t>
  </si>
  <si>
    <t>0,59</t>
  </si>
  <si>
    <t>evier cuisine</t>
  </si>
  <si>
    <t>cuisine équipée</t>
  </si>
  <si>
    <t>0,82</t>
  </si>
  <si>
    <t>cabine de douche</t>
  </si>
  <si>
    <t>porte coulissante placard</t>
  </si>
  <si>
    <t>0,3</t>
  </si>
  <si>
    <t>cuisine equipee</t>
  </si>
  <si>
    <t>douche italienne</t>
  </si>
  <si>
    <t>0,52</t>
  </si>
  <si>
    <t>meuble de cuisine</t>
  </si>
  <si>
    <t>0,41</t>
  </si>
  <si>
    <t>vasque salle de bain</t>
  </si>
  <si>
    <t>0,51</t>
  </si>
  <si>
    <t>meubles de cuisine</t>
  </si>
  <si>
    <t>salle de bain moderne</t>
  </si>
  <si>
    <t>meuble haut cuisine</t>
  </si>
  <si>
    <t>0,27</t>
  </si>
  <si>
    <t>hotte de cuisine</t>
  </si>
  <si>
    <t>buffet cuisine</t>
  </si>
  <si>
    <t>0,33</t>
  </si>
  <si>
    <t>lavabo salle de bain</t>
  </si>
  <si>
    <t>0,32</t>
  </si>
  <si>
    <t>meuble bas cuisine</t>
  </si>
  <si>
    <t>0,28</t>
  </si>
  <si>
    <t>dressing penderie</t>
  </si>
  <si>
    <t>0,42</t>
  </si>
  <si>
    <t>armoire penderie</t>
  </si>
  <si>
    <t>0,38</t>
  </si>
  <si>
    <t>armoire salle de bain</t>
  </si>
  <si>
    <t>0,29</t>
  </si>
  <si>
    <t>rénovation salle de bain</t>
  </si>
  <si>
    <t>2,5</t>
  </si>
  <si>
    <t>MEDIUM</t>
  </si>
  <si>
    <t>armoires salle de bains</t>
  </si>
  <si>
    <t>ilot cuisine</t>
  </si>
  <si>
    <t>0,46</t>
  </si>
  <si>
    <t>dressing sur mesure</t>
  </si>
  <si>
    <t>armoire dressing</t>
  </si>
  <si>
    <t>0,45</t>
  </si>
  <si>
    <t>meuble micro onde</t>
  </si>
  <si>
    <t>0,25</t>
  </si>
  <si>
    <t>cuisine moderne</t>
  </si>
  <si>
    <t>0,84</t>
  </si>
  <si>
    <t>cuisines modernes</t>
  </si>
  <si>
    <t>meuble pour micro onde</t>
  </si>
  <si>
    <t>plan de travail granit</t>
  </si>
  <si>
    <t>0,63</t>
  </si>
  <si>
    <t>îlot de cuisine</t>
  </si>
  <si>
    <t>0,55</t>
  </si>
  <si>
    <t>meuble sous pente</t>
  </si>
  <si>
    <t>plan de travail en granit</t>
  </si>
  <si>
    <t>plan de travail bois</t>
  </si>
  <si>
    <t>0,22</t>
  </si>
  <si>
    <t>cuisine noir et bois</t>
  </si>
  <si>
    <t>buffet de cuisine</t>
  </si>
  <si>
    <t>rangement salle de bain</t>
  </si>
  <si>
    <t>0,35</t>
  </si>
  <si>
    <t>cuisine complète</t>
  </si>
  <si>
    <t>0,56</t>
  </si>
  <si>
    <t>ilot de cuisine</t>
  </si>
  <si>
    <t>rangement cuisine</t>
  </si>
  <si>
    <t>0,43</t>
  </si>
  <si>
    <t>cuisines en l</t>
  </si>
  <si>
    <t>0,54</t>
  </si>
  <si>
    <t>baignoire d angle</t>
  </si>
  <si>
    <t>cuisine verte</t>
  </si>
  <si>
    <t>rangement sous evier</t>
  </si>
  <si>
    <t>plan de travail quartz</t>
  </si>
  <si>
    <t>0,74</t>
  </si>
  <si>
    <t>plan de travail sur mesure</t>
  </si>
  <si>
    <t>0,91</t>
  </si>
  <si>
    <t>colonne cuisine</t>
  </si>
  <si>
    <t>0,21</t>
  </si>
  <si>
    <t>meuble sur mesure</t>
  </si>
  <si>
    <t>meuble rangement cuisine</t>
  </si>
  <si>
    <t>cuisine vert sauge</t>
  </si>
  <si>
    <t>0,49</t>
  </si>
  <si>
    <t>idées cuisines</t>
  </si>
  <si>
    <t>1,18</t>
  </si>
  <si>
    <t>range couvert</t>
  </si>
  <si>
    <t>dressing sous pente</t>
  </si>
  <si>
    <t>cabine de douche 80x80</t>
  </si>
  <si>
    <t>0,48</t>
  </si>
  <si>
    <t>cuisine avec ilot central</t>
  </si>
  <si>
    <t>1,14</t>
  </si>
  <si>
    <t>bibliothèque sur mesure</t>
  </si>
  <si>
    <t>2,86</t>
  </si>
  <si>
    <t>cuisine sur mesure</t>
  </si>
  <si>
    <t>2,71</t>
  </si>
  <si>
    <t>cuisines en u</t>
  </si>
  <si>
    <t>0,98</t>
  </si>
  <si>
    <t>cuisiniste sur mesure</t>
  </si>
  <si>
    <t>dekton plan de travail</t>
  </si>
  <si>
    <t>0,78</t>
  </si>
  <si>
    <t>cuisine en bois</t>
  </si>
  <si>
    <t>cuisine noire</t>
  </si>
  <si>
    <t>0,5</t>
  </si>
  <si>
    <t>plan de travail marbre</t>
  </si>
  <si>
    <t>0,39</t>
  </si>
  <si>
    <t>meuble sdb</t>
  </si>
  <si>
    <t>baignoire semi ilot</t>
  </si>
  <si>
    <t>1,15</t>
  </si>
  <si>
    <t>plan de travail céramique</t>
  </si>
  <si>
    <t>meuble de rangement cuisine</t>
  </si>
  <si>
    <t>poignée meuble cuisine</t>
  </si>
  <si>
    <t>0,37</t>
  </si>
  <si>
    <t>cuisines américaines</t>
  </si>
  <si>
    <t>0,62</t>
  </si>
  <si>
    <t>cuisine noir</t>
  </si>
  <si>
    <t>îlot central cuisine</t>
  </si>
  <si>
    <t>plan de travail inox</t>
  </si>
  <si>
    <t>0,99</t>
  </si>
  <si>
    <t>meuble dressing</t>
  </si>
  <si>
    <t>plan de travail pierre</t>
  </si>
  <si>
    <t>aménagement salle de bain</t>
  </si>
  <si>
    <t>1,09</t>
  </si>
  <si>
    <t>cuisine complète pas cher</t>
  </si>
  <si>
    <t>placard sur mesure</t>
  </si>
  <si>
    <t>2,72</t>
  </si>
  <si>
    <t>cuisines petites</t>
  </si>
  <si>
    <t>aménagement cuisines</t>
  </si>
  <si>
    <t>1,68</t>
  </si>
  <si>
    <t>rangement placard cuisine</t>
  </si>
  <si>
    <t>bureau bois massif</t>
  </si>
  <si>
    <t>1,06</t>
  </si>
  <si>
    <t>petit ilot central cuisine</t>
  </si>
  <si>
    <t>conception cuisine</t>
  </si>
  <si>
    <t>2,26</t>
  </si>
  <si>
    <t>placard cuisine</t>
  </si>
  <si>
    <t>cuisine beige</t>
  </si>
  <si>
    <t>salles de bains douches</t>
  </si>
  <si>
    <t>rangement vetement</t>
  </si>
  <si>
    <t>prix d une cuisine équipée</t>
  </si>
  <si>
    <t>1,42</t>
  </si>
  <si>
    <t>prix cuisine équipée</t>
  </si>
  <si>
    <t>armoire vetement</t>
  </si>
  <si>
    <t>cuisine verte et bois</t>
  </si>
  <si>
    <t>cuisine bleu</t>
  </si>
  <si>
    <t>porte sur mesure</t>
  </si>
  <si>
    <t>3,22</t>
  </si>
  <si>
    <t>tiroir coulissant cuisine</t>
  </si>
  <si>
    <t>0,34</t>
  </si>
  <si>
    <t>renovation cuisine</t>
  </si>
  <si>
    <t>1,91</t>
  </si>
  <si>
    <t>rangement dressing</t>
  </si>
  <si>
    <t>cuisine conception</t>
  </si>
  <si>
    <t>cuisine équipée prix</t>
  </si>
  <si>
    <t>armoire cuisine</t>
  </si>
  <si>
    <t>cuisine bois et noir</t>
  </si>
  <si>
    <t>0,61</t>
  </si>
  <si>
    <t>inspiration cuisine</t>
  </si>
  <si>
    <t>1,33</t>
  </si>
  <si>
    <t>meuble salle de bain bois massif</t>
  </si>
  <si>
    <t>1,35</t>
  </si>
  <si>
    <t>couleurs cuisines</t>
  </si>
  <si>
    <t>0,67</t>
  </si>
  <si>
    <t>prix cuisiniste</t>
  </si>
  <si>
    <t>1,25</t>
  </si>
  <si>
    <t>inspiration cuisines</t>
  </si>
  <si>
    <t>couleur cuisine</t>
  </si>
  <si>
    <t>range couvert tiroir</t>
  </si>
  <si>
    <t>amenagement dressing</t>
  </si>
  <si>
    <t>0,65</t>
  </si>
  <si>
    <t>aménagement dressing</t>
  </si>
  <si>
    <t>les savoir faire</t>
  </si>
  <si>
    <t>LOW</t>
  </si>
  <si>
    <t>cuisiniste haut de gamme</t>
  </si>
  <si>
    <t>2,28</t>
  </si>
  <si>
    <t>placard dressing</t>
  </si>
  <si>
    <t>tendance salle de bain</t>
  </si>
  <si>
    <t>tendance cuisine</t>
  </si>
  <si>
    <t>1,03</t>
  </si>
  <si>
    <t>cuisine tendance</t>
  </si>
  <si>
    <t>salles de bains tendance</t>
  </si>
  <si>
    <t>petite cuisine équipée</t>
  </si>
  <si>
    <t>cuisine campagne chic</t>
  </si>
  <si>
    <t>1,21</t>
  </si>
  <si>
    <t>cuisiniste design</t>
  </si>
  <si>
    <t>1,11</t>
  </si>
  <si>
    <t>cuisine design</t>
  </si>
  <si>
    <t>cuisine industrielle</t>
  </si>
  <si>
    <t>0,95</t>
  </si>
  <si>
    <t>plan de cuisine</t>
  </si>
  <si>
    <t>1,39</t>
  </si>
  <si>
    <t>salle de bain tendance</t>
  </si>
  <si>
    <t>cuisines vintage</t>
  </si>
  <si>
    <t>ilot central avec table</t>
  </si>
  <si>
    <t>0,47</t>
  </si>
  <si>
    <t>cuisine grise</t>
  </si>
  <si>
    <t>couleur pour cuisine</t>
  </si>
  <si>
    <t>étagère sur mesure</t>
  </si>
  <si>
    <t>2,22</t>
  </si>
  <si>
    <t>meilleur cuisiniste</t>
  </si>
  <si>
    <t>3,43</t>
  </si>
  <si>
    <t>ilot centrale cuisine</t>
  </si>
  <si>
    <t>plan cuisine 3d</t>
  </si>
  <si>
    <t>1,47</t>
  </si>
  <si>
    <t>refaire salle de bain</t>
  </si>
  <si>
    <t>2,59</t>
  </si>
  <si>
    <t>model de cuisine moderne</t>
  </si>
  <si>
    <t>meuble rangement cuisine petit espace</t>
  </si>
  <si>
    <t>0,24</t>
  </si>
  <si>
    <t>cuisiniste de luxe</t>
  </si>
  <si>
    <t>1,58</t>
  </si>
  <si>
    <t>devis cuisine</t>
  </si>
  <si>
    <t>7,36</t>
  </si>
  <si>
    <t>armoire sur mesure</t>
  </si>
  <si>
    <t>cuisine avec ilot</t>
  </si>
  <si>
    <t>1,13</t>
  </si>
  <si>
    <t>plan travail cuisine</t>
  </si>
  <si>
    <t>salle de bain italienne</t>
  </si>
  <si>
    <t>douche senior</t>
  </si>
  <si>
    <t>4,33</t>
  </si>
  <si>
    <t>cuisines rustiques</t>
  </si>
  <si>
    <t>0,96</t>
  </si>
  <si>
    <t>plan de travail cuisine sur mesure</t>
  </si>
  <si>
    <t>1,36</t>
  </si>
  <si>
    <t>cuisine de luxe</t>
  </si>
  <si>
    <t>cuisine devis</t>
  </si>
  <si>
    <t>devis cuisiniste</t>
  </si>
  <si>
    <t>cuisine rustique</t>
  </si>
  <si>
    <t>cuisine équipée moderne</t>
  </si>
  <si>
    <t>cuisine grise et bois</t>
  </si>
  <si>
    <t>rangement tiroir cuisine</t>
  </si>
  <si>
    <t>cuisine bleu nuit</t>
  </si>
  <si>
    <t>cuisine encastrable</t>
  </si>
  <si>
    <t>ilot de cuisine avec rangement</t>
  </si>
  <si>
    <t>cuisine style industriel</t>
  </si>
  <si>
    <t>penderie bois</t>
  </si>
  <si>
    <t>cuisine moderne bois</t>
  </si>
  <si>
    <t>cuisine bois moderne</t>
  </si>
  <si>
    <t>cuisine moderne en bois</t>
  </si>
  <si>
    <t>couleur cuisine tendance</t>
  </si>
  <si>
    <t>cuisine en bois moderne</t>
  </si>
  <si>
    <t>porte coulissante placard sur mesure</t>
  </si>
  <si>
    <t>1,29</t>
  </si>
  <si>
    <t>cuisine luxe</t>
  </si>
  <si>
    <t>1,64</t>
  </si>
  <si>
    <t>cuisine noir mat</t>
  </si>
  <si>
    <t>devis cuisine en ligne</t>
  </si>
  <si>
    <t>6,75</t>
  </si>
  <si>
    <t>cuisine blanche et bois moderne</t>
  </si>
  <si>
    <t>cuisine devis en ligne</t>
  </si>
  <si>
    <t>cuisine en l avec ilot</t>
  </si>
  <si>
    <t>salle de bain luxe</t>
  </si>
  <si>
    <t>agencement cuisine</t>
  </si>
  <si>
    <t>1,52</t>
  </si>
  <si>
    <t>salle de bain luxueuse</t>
  </si>
  <si>
    <t>cuisine complète avec électroménager</t>
  </si>
  <si>
    <t>devis en ligne cuisine</t>
  </si>
  <si>
    <t>conception salle de bains</t>
  </si>
  <si>
    <t>1,72</t>
  </si>
  <si>
    <t>devis salle de bain</t>
  </si>
  <si>
    <t>5,98</t>
  </si>
  <si>
    <t>plan de travail cuisine noir</t>
  </si>
  <si>
    <t>cuisine noir et bois moderne</t>
  </si>
  <si>
    <t>cuisine design moderne</t>
  </si>
  <si>
    <t>1,22</t>
  </si>
  <si>
    <t>cuisiniste contemporain</t>
  </si>
  <si>
    <t>1,26</t>
  </si>
  <si>
    <t>style cuisine campagne</t>
  </si>
  <si>
    <t>cuisine style campagne</t>
  </si>
  <si>
    <t>peinture cuisine tendance</t>
  </si>
  <si>
    <t>cuisine traditionnelle</t>
  </si>
  <si>
    <t>1,23</t>
  </si>
  <si>
    <t>couleur cuisine moderne</t>
  </si>
  <si>
    <t>0,85</t>
  </si>
  <si>
    <t>cuisine contemporaine</t>
  </si>
  <si>
    <t>installateur de salle de bain</t>
  </si>
  <si>
    <t>2,91</t>
  </si>
  <si>
    <t>cuisine avec îlot central et table intégrée</t>
  </si>
  <si>
    <t>1,08</t>
  </si>
  <si>
    <t>design cuisine moderne</t>
  </si>
  <si>
    <t>cuisine moderne design</t>
  </si>
  <si>
    <t>cuisine ilot central moderne</t>
  </si>
  <si>
    <t>cuisine retro</t>
  </si>
  <si>
    <t>cuisine rustique moderne</t>
  </si>
  <si>
    <t>1,2</t>
  </si>
  <si>
    <t>deco cuisine moderne</t>
  </si>
  <si>
    <t>dressing sous pente sur mesure</t>
  </si>
  <si>
    <t>1,44</t>
  </si>
  <si>
    <t>penderie ouverte</t>
  </si>
  <si>
    <t>renovation interieur maison</t>
  </si>
  <si>
    <t>4,27</t>
  </si>
  <si>
    <t>prix d une cuisine</t>
  </si>
  <si>
    <t>1,4</t>
  </si>
  <si>
    <t>dressing sur mesure sous pente</t>
  </si>
  <si>
    <t>style cuisine</t>
  </si>
  <si>
    <t>0,9</t>
  </si>
  <si>
    <t>rénovation cuisine ancienne</t>
  </si>
  <si>
    <t>1,43</t>
  </si>
  <si>
    <t>comparatif cuisiniste</t>
  </si>
  <si>
    <t>3,06</t>
  </si>
  <si>
    <t>prix moyen cuisine</t>
  </si>
  <si>
    <t>1,57</t>
  </si>
  <si>
    <t>cuisine moderne blanche</t>
  </si>
  <si>
    <t>cuisine equipée</t>
  </si>
  <si>
    <t>cuisine blanche moderne</t>
  </si>
  <si>
    <t>rangement sur mesure</t>
  </si>
  <si>
    <t>2,92</t>
  </si>
  <si>
    <t>penderie sur mesure</t>
  </si>
  <si>
    <t>1,83</t>
  </si>
  <si>
    <t>meilleur cuisiniste rapport qualité prix</t>
  </si>
  <si>
    <t>3,12</t>
  </si>
  <si>
    <t>dressing sur mesure prix</t>
  </si>
  <si>
    <t>1,38</t>
  </si>
  <si>
    <t>prix dressing sur mesure</t>
  </si>
  <si>
    <t>prix d une cuisine équipée avec pose</t>
  </si>
  <si>
    <t>cuisine meilleur rapport qualité prix</t>
  </si>
  <si>
    <t>cuisine minimaliste</t>
  </si>
  <si>
    <t>0,68</t>
  </si>
  <si>
    <t>cuisine belgique</t>
  </si>
  <si>
    <t>2,54</t>
  </si>
  <si>
    <t>petite cuisine moderne</t>
  </si>
  <si>
    <t>porte cuisine sur mesure</t>
  </si>
  <si>
    <t>1,02</t>
  </si>
  <si>
    <t>cuisines fermées</t>
  </si>
  <si>
    <t>1,62</t>
  </si>
  <si>
    <t>cuisinistes belgique</t>
  </si>
  <si>
    <t>cuisiniste belgique</t>
  </si>
  <si>
    <t>cuisine équipée complète</t>
  </si>
  <si>
    <t>0,77</t>
  </si>
  <si>
    <t>placard sous pente porte coulissante</t>
  </si>
  <si>
    <t>0,18</t>
  </si>
  <si>
    <t>dressing sur mesure en ligne</t>
  </si>
  <si>
    <t>1,66</t>
  </si>
  <si>
    <t>cuisiniste artisan</t>
  </si>
  <si>
    <t>3,35</t>
  </si>
  <si>
    <t>prix cuisine sur mesure</t>
  </si>
  <si>
    <t>1,73</t>
  </si>
  <si>
    <t>cuisine installation</t>
  </si>
  <si>
    <t>3,28</t>
  </si>
  <si>
    <t>prix d une cuisine sur mesure</t>
  </si>
  <si>
    <t>meuble belge</t>
  </si>
  <si>
    <t>cuisine équipée avec ilot central</t>
  </si>
  <si>
    <t>1,3</t>
  </si>
  <si>
    <t>cuisine moderne avec ilot</t>
  </si>
  <si>
    <t>placards sur mesure</t>
  </si>
  <si>
    <t>2,67</t>
  </si>
  <si>
    <t>cuisine équipée bois</t>
  </si>
  <si>
    <t>0,88</t>
  </si>
  <si>
    <t>cuisine industrielle noir et bois</t>
  </si>
  <si>
    <t>0,87</t>
  </si>
  <si>
    <t>cuisine design luxe</t>
  </si>
  <si>
    <t>installation cuisine</t>
  </si>
  <si>
    <t>salle de bain style industriel</t>
  </si>
  <si>
    <t>conception cuisine en ligne</t>
  </si>
  <si>
    <t>2,01</t>
  </si>
  <si>
    <t>meuble sous pente sur mesure</t>
  </si>
  <si>
    <t>coût salle de bain</t>
  </si>
  <si>
    <t>îlot central cuisine avec rangement</t>
  </si>
  <si>
    <t>design salle de bain</t>
  </si>
  <si>
    <t>0,83</t>
  </si>
  <si>
    <t>salle de bain rustique</t>
  </si>
  <si>
    <t>0,4</t>
  </si>
  <si>
    <t>cuisine équipée avec électroménager</t>
  </si>
  <si>
    <t>0,66</t>
  </si>
  <si>
    <t>mobilier sur mesure</t>
  </si>
  <si>
    <t>3,51</t>
  </si>
  <si>
    <t>salles de bains design</t>
  </si>
  <si>
    <t>cuisine équipée blanche</t>
  </si>
  <si>
    <t>cuisiniste professionnel</t>
  </si>
  <si>
    <t>marques cuisines haut de gamme</t>
  </si>
  <si>
    <t>salles de bains contemporaines</t>
  </si>
  <si>
    <t>marques cuisine haut de gamme</t>
  </si>
  <si>
    <t>devis cuisine gratuit</t>
  </si>
  <si>
    <t>8,93</t>
  </si>
  <si>
    <t>meuble salle de bain luxe</t>
  </si>
  <si>
    <t>salle de bain contemporaine</t>
  </si>
  <si>
    <t>cuisine équipée sur mesure</t>
  </si>
  <si>
    <t>2,05</t>
  </si>
  <si>
    <t>installateur de cuisine</t>
  </si>
  <si>
    <t>3,17</t>
  </si>
  <si>
    <t>rénovation cuisine avant après</t>
  </si>
  <si>
    <t>1,78</t>
  </si>
  <si>
    <t>cuisines ouvertes</t>
  </si>
  <si>
    <t>1,84</t>
  </si>
  <si>
    <t>cuisine sur mesure bois</t>
  </si>
  <si>
    <t>2,17</t>
  </si>
  <si>
    <t>cuisine équipée petit espace</t>
  </si>
  <si>
    <t>exposition salle de bain</t>
  </si>
  <si>
    <t>0,92</t>
  </si>
  <si>
    <t>avis cuisiniste</t>
  </si>
  <si>
    <t>2,49</t>
  </si>
  <si>
    <t>salle de bain complète prix</t>
  </si>
  <si>
    <t>1,1</t>
  </si>
  <si>
    <t>showroom cuisine</t>
  </si>
  <si>
    <t>3,03</t>
  </si>
  <si>
    <t>estimation prix cuisine</t>
  </si>
  <si>
    <t>2,93</t>
  </si>
  <si>
    <t>promotion cuisine équipée</t>
  </si>
  <si>
    <t>1,28</t>
  </si>
  <si>
    <t>choisir cuisiniste</t>
  </si>
  <si>
    <t>montage de cuisine</t>
  </si>
  <si>
    <t>2,07</t>
  </si>
  <si>
    <t>cuisine en belgique</t>
  </si>
  <si>
    <t>2,6</t>
  </si>
  <si>
    <t>devis cuisine équipée</t>
  </si>
  <si>
    <t>6,83</t>
  </si>
  <si>
    <t>cuisine équipée haut de gamme</t>
  </si>
  <si>
    <t>1,48</t>
  </si>
  <si>
    <t>nouvelle cuisine moderne</t>
  </si>
  <si>
    <t>top cuisiniste</t>
  </si>
  <si>
    <t>3,63</t>
  </si>
  <si>
    <t>magasin cuisine équipée</t>
  </si>
  <si>
    <t>3,52</t>
  </si>
  <si>
    <t>budget cuisine équipée</t>
  </si>
  <si>
    <t>1,93</t>
  </si>
  <si>
    <t>meilleure cuisine équipée</t>
  </si>
  <si>
    <t>2,16</t>
  </si>
  <si>
    <t>cuisine économique</t>
  </si>
  <si>
    <t>cuisine équipée appartement</t>
  </si>
  <si>
    <t>acheter une cuisine équipée</t>
  </si>
  <si>
    <t>magasin de cuisines équipées</t>
  </si>
  <si>
    <t>2,76</t>
  </si>
  <si>
    <t>acheter cuisine équipée</t>
  </si>
  <si>
    <t>nouvelle cuisine prix</t>
  </si>
  <si>
    <t>1,6</t>
  </si>
  <si>
    <t>cuisine équipée belgique</t>
  </si>
  <si>
    <t>cuisines classiques</t>
  </si>
  <si>
    <t>tarif cuisine sur mesure</t>
  </si>
  <si>
    <t>4,96</t>
  </si>
  <si>
    <t>cuisine sur mesure belgique</t>
  </si>
  <si>
    <t>meilleur cuisiniste belgique</t>
  </si>
  <si>
    <t>2,25</t>
  </si>
  <si>
    <t>cuisine équipée qualité</t>
  </si>
  <si>
    <t>2,47</t>
  </si>
  <si>
    <t>salles de bains petites</t>
  </si>
  <si>
    <t>cuisines luxueuses</t>
  </si>
  <si>
    <t>cuisines haut de gamme belgique</t>
  </si>
  <si>
    <t>fabricant cuisines belgique</t>
  </si>
  <si>
    <t>2,78</t>
  </si>
  <si>
    <t>estimation budget cuisine</t>
  </si>
  <si>
    <t>2,31</t>
  </si>
  <si>
    <t>acheter une cuisine en ligne</t>
  </si>
  <si>
    <t>1,88</t>
  </si>
  <si>
    <t>nouvelle cuisine design</t>
  </si>
  <si>
    <t>1,27</t>
  </si>
  <si>
    <t>cuisine sur mesure moderne</t>
  </si>
  <si>
    <t>nouvelle cuisine 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</si>
</sst>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306"/>
  <sheetViews>
    <sheetView tabSelected="1" workbookViewId="0"/>
  </sheetViews>
  <sheetFormatPr baseColWidth="10" defaultColWidth="12.6640625" defaultRowHeight="15.75" customHeight="1" x14ac:dyDescent="0.15"/>
  <sheetData>
    <row r="1" spans="1:1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customHeight="1" x14ac:dyDescent="0.15">
      <c r="A2" s="1" t="s">
        <v>16</v>
      </c>
      <c r="B2" s="1">
        <v>165000</v>
      </c>
      <c r="C2" s="1" t="s">
        <v>17</v>
      </c>
      <c r="D2" s="1" t="str">
        <f ca="1">IFERROR(__xludf.DUMMYFUNCTION("AI(""Peux-tu classifier le mot-clé dans la colonne A sur base d'une des trois catégories suivantes: Cuisine,Salle de bains, Intérieur &amp; sur-mesure "")"),"Salle de bains")</f>
        <v>Salle de bains</v>
      </c>
      <c r="L2" s="1" t="s">
        <v>18</v>
      </c>
      <c r="M2" s="1" t="s">
        <v>18</v>
      </c>
      <c r="O2" s="1" t="s">
        <v>19</v>
      </c>
      <c r="P2" s="1" t="s">
        <v>20</v>
      </c>
    </row>
    <row r="3" spans="1:16" ht="15.75" customHeight="1" x14ac:dyDescent="0.15">
      <c r="A3" s="1" t="s">
        <v>21</v>
      </c>
      <c r="B3" s="1">
        <v>165000</v>
      </c>
      <c r="C3" s="1" t="s">
        <v>17</v>
      </c>
      <c r="D3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3" s="1" t="s">
        <v>18</v>
      </c>
      <c r="M3" s="1" t="s">
        <v>18</v>
      </c>
      <c r="O3" s="1" t="s">
        <v>22</v>
      </c>
      <c r="P3" s="1" t="s">
        <v>20</v>
      </c>
    </row>
    <row r="4" spans="1:16" ht="15.75" customHeight="1" x14ac:dyDescent="0.15">
      <c r="A4" s="1" t="s">
        <v>23</v>
      </c>
      <c r="B4" s="1">
        <v>165000</v>
      </c>
      <c r="C4" s="1" t="s">
        <v>17</v>
      </c>
      <c r="D4" s="1" t="str">
        <f ca="1">IFERROR(__xludf.DUMMYFUNCTION("AI(""Peux-tu classifier le mot-clé dans la colonne A sur base d'une des trois catégories suivantes: Cuisine,Salle de bains, Intérieur &amp; sur-mesure "")"),"Salle de bains")</f>
        <v>Salle de bains</v>
      </c>
      <c r="L4" s="1" t="s">
        <v>18</v>
      </c>
      <c r="M4" s="1" t="s">
        <v>18</v>
      </c>
      <c r="O4" s="1" t="s">
        <v>19</v>
      </c>
      <c r="P4" s="1" t="s">
        <v>20</v>
      </c>
    </row>
    <row r="5" spans="1:16" ht="15.75" customHeight="1" x14ac:dyDescent="0.15">
      <c r="A5" s="1" t="s">
        <v>24</v>
      </c>
      <c r="B5" s="1">
        <v>165000</v>
      </c>
      <c r="C5" s="1" t="s">
        <v>17</v>
      </c>
      <c r="D5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5" s="1" t="s">
        <v>18</v>
      </c>
      <c r="M5" s="1" t="s">
        <v>18</v>
      </c>
      <c r="O5" s="1" t="s">
        <v>22</v>
      </c>
      <c r="P5" s="1" t="s">
        <v>20</v>
      </c>
    </row>
    <row r="6" spans="1:16" ht="15.75" customHeight="1" x14ac:dyDescent="0.15">
      <c r="A6" s="1" t="s">
        <v>25</v>
      </c>
      <c r="B6" s="1">
        <v>74000</v>
      </c>
      <c r="C6" s="1" t="s">
        <v>17</v>
      </c>
      <c r="D6" s="1" t="str">
        <f ca="1">IFERROR(__xludf.DUMMYFUNCTION("AI(""Peux-tu classifier le mot-clé dans la colonne A sur base d'une des trois catégories suivantes: Cuisine,Salle de bains, Intérieur &amp; sur-mesure "")"),"Salle de bains")</f>
        <v>Salle de bains</v>
      </c>
      <c r="L6" s="1" t="s">
        <v>18</v>
      </c>
      <c r="M6" s="1" t="s">
        <v>18</v>
      </c>
      <c r="O6" s="1" t="s">
        <v>26</v>
      </c>
      <c r="P6" s="1" t="s">
        <v>20</v>
      </c>
    </row>
    <row r="7" spans="1:16" ht="15.75" customHeight="1" x14ac:dyDescent="0.15">
      <c r="A7" s="1" t="s">
        <v>27</v>
      </c>
      <c r="B7" s="1">
        <v>60500</v>
      </c>
      <c r="C7" s="1" t="s">
        <v>17</v>
      </c>
      <c r="D7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7" s="1" t="s">
        <v>18</v>
      </c>
      <c r="M7" s="1" t="s">
        <v>18</v>
      </c>
      <c r="O7" s="1" t="s">
        <v>28</v>
      </c>
      <c r="P7" s="1" t="s">
        <v>20</v>
      </c>
    </row>
    <row r="8" spans="1:16" ht="15.75" customHeight="1" x14ac:dyDescent="0.15">
      <c r="A8" s="1" t="s">
        <v>29</v>
      </c>
      <c r="B8" s="1">
        <v>60500</v>
      </c>
      <c r="C8" s="1" t="s">
        <v>17</v>
      </c>
      <c r="D8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8" s="1" t="s">
        <v>18</v>
      </c>
      <c r="M8" s="1" t="s">
        <v>18</v>
      </c>
      <c r="O8" s="1" t="s">
        <v>28</v>
      </c>
      <c r="P8" s="1" t="s">
        <v>20</v>
      </c>
    </row>
    <row r="9" spans="1:16" ht="15.75" customHeight="1" x14ac:dyDescent="0.15">
      <c r="A9" s="1" t="s">
        <v>30</v>
      </c>
      <c r="B9" s="1">
        <v>49500</v>
      </c>
      <c r="C9" s="1" t="s">
        <v>17</v>
      </c>
      <c r="D9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9" s="1" t="s">
        <v>18</v>
      </c>
      <c r="M9" s="1" t="s">
        <v>18</v>
      </c>
      <c r="O9" s="1" t="s">
        <v>31</v>
      </c>
      <c r="P9" s="1" t="s">
        <v>20</v>
      </c>
    </row>
    <row r="10" spans="1:16" ht="15.75" customHeight="1" x14ac:dyDescent="0.15">
      <c r="A10" s="1" t="s">
        <v>32</v>
      </c>
      <c r="B10" s="1">
        <v>49500</v>
      </c>
      <c r="C10" s="1" t="s">
        <v>17</v>
      </c>
      <c r="D10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0" s="1" t="s">
        <v>18</v>
      </c>
      <c r="M10" s="1" t="s">
        <v>18</v>
      </c>
      <c r="O10" s="1" t="s">
        <v>33</v>
      </c>
      <c r="P10" s="1" t="s">
        <v>20</v>
      </c>
    </row>
    <row r="11" spans="1:16" ht="15.75" customHeight="1" x14ac:dyDescent="0.15">
      <c r="A11" s="1" t="s">
        <v>34</v>
      </c>
      <c r="B11" s="1">
        <v>49500</v>
      </c>
      <c r="C11" s="1" t="s">
        <v>17</v>
      </c>
      <c r="D11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1" s="1" t="s">
        <v>18</v>
      </c>
      <c r="M11" s="1" t="s">
        <v>18</v>
      </c>
      <c r="O11" s="1" t="s">
        <v>35</v>
      </c>
      <c r="P11" s="1" t="s">
        <v>20</v>
      </c>
    </row>
    <row r="12" spans="1:16" ht="15.75" customHeight="1" x14ac:dyDescent="0.15">
      <c r="A12" s="1" t="s">
        <v>36</v>
      </c>
      <c r="B12" s="1">
        <v>49500</v>
      </c>
      <c r="C12" s="1" t="s">
        <v>17</v>
      </c>
      <c r="D12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2" s="1" t="s">
        <v>18</v>
      </c>
      <c r="M12" s="1" t="s">
        <v>18</v>
      </c>
      <c r="O12" s="1" t="s">
        <v>35</v>
      </c>
      <c r="P12" s="1" t="s">
        <v>20</v>
      </c>
    </row>
    <row r="13" spans="1:16" ht="15.75" customHeight="1" x14ac:dyDescent="0.15">
      <c r="A13" s="1" t="s">
        <v>37</v>
      </c>
      <c r="B13" s="1">
        <v>49500</v>
      </c>
      <c r="C13" s="1" t="s">
        <v>17</v>
      </c>
      <c r="D13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3" s="1" t="s">
        <v>18</v>
      </c>
      <c r="M13" s="1" t="s">
        <v>18</v>
      </c>
      <c r="O13" s="1" t="s">
        <v>31</v>
      </c>
      <c r="P13" s="1" t="s">
        <v>20</v>
      </c>
    </row>
    <row r="14" spans="1:16" ht="15.75" customHeight="1" x14ac:dyDescent="0.15">
      <c r="A14" s="1" t="s">
        <v>38</v>
      </c>
      <c r="B14" s="1">
        <v>40500</v>
      </c>
      <c r="C14" s="1" t="s">
        <v>17</v>
      </c>
      <c r="D14" s="1" t="str">
        <f ca="1">IFERROR(__xludf.DUMMYFUNCTION("AI(""Peux-tu classifier le mot-clé dans la colonne A sur base d'une des trois catégories suivantes: Cuisine,Salle de bains, Intérieur &amp; sur-mesure "")"),"Salle de bains")</f>
        <v>Salle de bains</v>
      </c>
      <c r="L14" s="1" t="s">
        <v>18</v>
      </c>
      <c r="M14" s="1" t="s">
        <v>18</v>
      </c>
      <c r="O14" s="1" t="s">
        <v>39</v>
      </c>
      <c r="P14" s="1" t="s">
        <v>20</v>
      </c>
    </row>
    <row r="15" spans="1:16" ht="15.75" customHeight="1" x14ac:dyDescent="0.15">
      <c r="A15" s="1" t="s">
        <v>40</v>
      </c>
      <c r="B15" s="1">
        <v>33100</v>
      </c>
      <c r="C15" s="1" t="s">
        <v>17</v>
      </c>
      <c r="D15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5" s="1" t="s">
        <v>18</v>
      </c>
      <c r="M15" s="1" t="s">
        <v>18</v>
      </c>
      <c r="O15" s="1" t="s">
        <v>33</v>
      </c>
      <c r="P15" s="1" t="s">
        <v>20</v>
      </c>
    </row>
    <row r="16" spans="1:16" ht="15.75" customHeight="1" x14ac:dyDescent="0.15">
      <c r="A16" s="1" t="s">
        <v>41</v>
      </c>
      <c r="B16" s="1">
        <v>33100</v>
      </c>
      <c r="C16" s="1" t="s">
        <v>17</v>
      </c>
      <c r="D16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6" s="1" t="s">
        <v>18</v>
      </c>
      <c r="M16" s="1" t="s">
        <v>18</v>
      </c>
      <c r="O16" s="1" t="s">
        <v>42</v>
      </c>
      <c r="P16" s="1" t="s">
        <v>20</v>
      </c>
    </row>
    <row r="17" spans="1:16" ht="15.75" customHeight="1" x14ac:dyDescent="0.15">
      <c r="A17" s="1" t="s">
        <v>43</v>
      </c>
      <c r="B17" s="1">
        <v>33100</v>
      </c>
      <c r="C17" s="1" t="s">
        <v>17</v>
      </c>
      <c r="D17" s="1" t="str">
        <f ca="1">IFERROR(__xludf.DUMMYFUNCTION("AI(""Peux-tu classifier le mot-clé dans la colonne A sur base d'une des trois catégories suivantes: Cuisine,Salle de bains, Intérieur &amp; sur-mesure "")"),"Salle de bains")</f>
        <v>Salle de bains</v>
      </c>
      <c r="L17" s="1" t="s">
        <v>18</v>
      </c>
      <c r="M17" s="1" t="s">
        <v>18</v>
      </c>
      <c r="O17" s="1" t="s">
        <v>33</v>
      </c>
      <c r="P17" s="1" t="s">
        <v>20</v>
      </c>
    </row>
    <row r="18" spans="1:16" ht="15.75" customHeight="1" x14ac:dyDescent="0.15">
      <c r="A18" s="1" t="s">
        <v>44</v>
      </c>
      <c r="B18" s="1">
        <v>33100</v>
      </c>
      <c r="C18" s="1" t="s">
        <v>17</v>
      </c>
      <c r="D18" s="1" t="str">
        <f ca="1">IFERROR(__xludf.DUMMYFUNCTION("AI(""Peux-tu classifier le mot-clé dans la colonne A sur base d'une des trois catégories suivantes: Cuisine,Salle de bains, Intérieur &amp; sur-mesure "")"),"Intérieur &amp; Sur-mesure")</f>
        <v>Intérieur &amp; Sur-mesure</v>
      </c>
      <c r="L18" s="1" t="s">
        <v>18</v>
      </c>
      <c r="M18" s="1" t="s">
        <v>18</v>
      </c>
      <c r="O18" s="1" t="s">
        <v>45</v>
      </c>
      <c r="P18" s="1" t="s">
        <v>20</v>
      </c>
    </row>
    <row r="19" spans="1:16" ht="15.75" customHeight="1" x14ac:dyDescent="0.15">
      <c r="A19" s="1" t="s">
        <v>46</v>
      </c>
      <c r="B19" s="1">
        <v>33100</v>
      </c>
      <c r="C19" s="1" t="s">
        <v>17</v>
      </c>
      <c r="D19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9" s="1" t="s">
        <v>18</v>
      </c>
      <c r="M19" s="1" t="s">
        <v>18</v>
      </c>
      <c r="O19" s="1" t="s">
        <v>42</v>
      </c>
      <c r="P19" s="1" t="s">
        <v>20</v>
      </c>
    </row>
    <row r="20" spans="1:16" ht="15.75" customHeight="1" x14ac:dyDescent="0.15">
      <c r="A20" s="1" t="s">
        <v>47</v>
      </c>
      <c r="B20" s="1">
        <v>33100</v>
      </c>
      <c r="C20" s="1" t="s">
        <v>17</v>
      </c>
      <c r="D20" s="1" t="str">
        <f ca="1">IFERROR(__xludf.DUMMYFUNCTION("AI(""Peux-tu classifier le mot-clé dans la colonne A sur base d'une des trois catégories suivantes: Cuisine,Salle de bains, Intérieur &amp; sur-mesure "")"),"Salle de bains")</f>
        <v>Salle de bains</v>
      </c>
      <c r="L20" s="1" t="s">
        <v>18</v>
      </c>
      <c r="M20" s="1" t="s">
        <v>18</v>
      </c>
      <c r="O20" s="1" t="s">
        <v>48</v>
      </c>
      <c r="P20" s="1" t="s">
        <v>20</v>
      </c>
    </row>
    <row r="21" spans="1:16" ht="15.75" customHeight="1" x14ac:dyDescent="0.15">
      <c r="A21" s="1" t="s">
        <v>49</v>
      </c>
      <c r="B21" s="1">
        <v>27100</v>
      </c>
      <c r="C21" s="1" t="s">
        <v>17</v>
      </c>
      <c r="D21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1" s="1" t="s">
        <v>18</v>
      </c>
      <c r="M21" s="1" t="s">
        <v>18</v>
      </c>
      <c r="O21" s="1" t="s">
        <v>50</v>
      </c>
      <c r="P21" s="1" t="s">
        <v>20</v>
      </c>
    </row>
    <row r="22" spans="1:16" ht="15.75" customHeight="1" x14ac:dyDescent="0.15">
      <c r="A22" s="1" t="s">
        <v>51</v>
      </c>
      <c r="B22" s="1">
        <v>27100</v>
      </c>
      <c r="C22" s="1" t="s">
        <v>17</v>
      </c>
      <c r="D22" s="1" t="str">
        <f ca="1">IFERROR(__xludf.DUMMYFUNCTION("AI(""Peux-tu classifier le mot-clé dans la colonne A sur base d'une des trois catégories suivantes: Cuisine,Salle de bains, Intérieur &amp; sur-mesure "")"),"Salle de bains")</f>
        <v>Salle de bains</v>
      </c>
      <c r="L22" s="1" t="s">
        <v>18</v>
      </c>
      <c r="M22" s="1" t="s">
        <v>18</v>
      </c>
      <c r="O22" s="1" t="s">
        <v>52</v>
      </c>
      <c r="P22" s="1" t="s">
        <v>20</v>
      </c>
    </row>
    <row r="23" spans="1:16" ht="15.75" customHeight="1" x14ac:dyDescent="0.15">
      <c r="A23" s="1" t="s">
        <v>53</v>
      </c>
      <c r="B23" s="1">
        <v>27100</v>
      </c>
      <c r="C23" s="1" t="s">
        <v>17</v>
      </c>
      <c r="D23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3" s="1" t="s">
        <v>18</v>
      </c>
      <c r="M23" s="1" t="s">
        <v>18</v>
      </c>
      <c r="O23" s="1" t="s">
        <v>50</v>
      </c>
      <c r="P23" s="1" t="s">
        <v>20</v>
      </c>
    </row>
    <row r="24" spans="1:16" ht="15.75" customHeight="1" x14ac:dyDescent="0.15">
      <c r="A24" s="1" t="s">
        <v>54</v>
      </c>
      <c r="B24" s="1">
        <v>22200</v>
      </c>
      <c r="C24" s="1" t="s">
        <v>17</v>
      </c>
      <c r="D24" s="1" t="str">
        <f ca="1">IFERROR(__xludf.DUMMYFUNCTION("AI(""Peux-tu classifier le mot-clé dans la colonne A sur base d'une des trois catégories suivantes: Cuisine,Salle de bains, Intérieur &amp; sur-mesure "")"),"Salle de bains")</f>
        <v>Salle de bains</v>
      </c>
      <c r="L24" s="1" t="s">
        <v>18</v>
      </c>
      <c r="M24" s="1" t="s">
        <v>18</v>
      </c>
      <c r="O24" s="1" t="s">
        <v>52</v>
      </c>
      <c r="P24" s="1" t="s">
        <v>20</v>
      </c>
    </row>
    <row r="25" spans="1:16" ht="15.75" customHeight="1" x14ac:dyDescent="0.15">
      <c r="A25" s="1" t="s">
        <v>55</v>
      </c>
      <c r="B25" s="1">
        <v>18100</v>
      </c>
      <c r="C25" s="1" t="s">
        <v>17</v>
      </c>
      <c r="D25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5" s="1" t="s">
        <v>18</v>
      </c>
      <c r="M25" s="1" t="s">
        <v>18</v>
      </c>
      <c r="O25" s="1" t="s">
        <v>56</v>
      </c>
      <c r="P25" s="1" t="s">
        <v>20</v>
      </c>
    </row>
    <row r="26" spans="1:16" ht="15.75" customHeight="1" x14ac:dyDescent="0.15">
      <c r="A26" s="1" t="s">
        <v>57</v>
      </c>
      <c r="B26" s="1">
        <v>18100</v>
      </c>
      <c r="C26" s="1" t="s">
        <v>17</v>
      </c>
      <c r="D26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6" s="1" t="s">
        <v>18</v>
      </c>
      <c r="M26" s="1" t="s">
        <v>18</v>
      </c>
      <c r="O26" s="1" t="s">
        <v>45</v>
      </c>
      <c r="P26" s="1" t="s">
        <v>20</v>
      </c>
    </row>
    <row r="27" spans="1:16" ht="15.75" customHeight="1" x14ac:dyDescent="0.15">
      <c r="A27" s="1" t="s">
        <v>58</v>
      </c>
      <c r="B27" s="1">
        <v>18100</v>
      </c>
      <c r="C27" s="1" t="s">
        <v>17</v>
      </c>
      <c r="D27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7" s="1" t="s">
        <v>18</v>
      </c>
      <c r="M27" s="1" t="s">
        <v>18</v>
      </c>
      <c r="O27" s="1" t="s">
        <v>59</v>
      </c>
      <c r="P27" s="1" t="s">
        <v>20</v>
      </c>
    </row>
    <row r="28" spans="1:16" ht="15.75" customHeight="1" x14ac:dyDescent="0.15">
      <c r="A28" s="1" t="s">
        <v>60</v>
      </c>
      <c r="B28" s="1">
        <v>18100</v>
      </c>
      <c r="C28" s="1" t="s">
        <v>17</v>
      </c>
      <c r="D28" s="1" t="str">
        <f ca="1">IFERROR(__xludf.DUMMYFUNCTION("AI(""Peux-tu classifier le mot-clé dans la colonne A sur base d'une des trois catégories suivantes: Cuisine,Salle de bains, Intérieur &amp; sur-mesure "")"),"Salle de bains")</f>
        <v>Salle de bains</v>
      </c>
      <c r="L28" s="1" t="s">
        <v>18</v>
      </c>
      <c r="M28" s="1" t="s">
        <v>18</v>
      </c>
      <c r="O28" s="1" t="s">
        <v>61</v>
      </c>
      <c r="P28" s="1" t="s">
        <v>20</v>
      </c>
    </row>
    <row r="29" spans="1:16" ht="15.75" customHeight="1" x14ac:dyDescent="0.15">
      <c r="A29" s="1" t="s">
        <v>62</v>
      </c>
      <c r="B29" s="1">
        <v>14800</v>
      </c>
      <c r="C29" s="1" t="s">
        <v>17</v>
      </c>
      <c r="D29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9" s="1" t="s">
        <v>18</v>
      </c>
      <c r="M29" s="1" t="s">
        <v>18</v>
      </c>
      <c r="O29" s="1" t="s">
        <v>63</v>
      </c>
      <c r="P29" s="1" t="s">
        <v>20</v>
      </c>
    </row>
    <row r="30" spans="1:16" ht="15.75" customHeight="1" x14ac:dyDescent="0.15">
      <c r="A30" s="1" t="s">
        <v>64</v>
      </c>
      <c r="B30" s="1">
        <v>14800</v>
      </c>
      <c r="C30" s="1" t="s">
        <v>17</v>
      </c>
      <c r="D30" s="1" t="str">
        <f ca="1">IFERROR(__xludf.DUMMYFUNCTION("AI(""Peux-tu classifier le mot-clé dans la colonne A sur base d'une des trois catégories suivantes: Cuisine,Salle de bains, Intérieur &amp; sur-mesure "")"),"Intérieur &amp; Sur-mesure")</f>
        <v>Intérieur &amp; Sur-mesure</v>
      </c>
      <c r="L30" s="1" t="s">
        <v>18</v>
      </c>
      <c r="M30" s="1" t="s">
        <v>18</v>
      </c>
      <c r="O30" s="1" t="s">
        <v>65</v>
      </c>
      <c r="P30" s="1" t="s">
        <v>20</v>
      </c>
    </row>
    <row r="31" spans="1:16" ht="15.75" customHeight="1" x14ac:dyDescent="0.15">
      <c r="A31" s="1" t="s">
        <v>66</v>
      </c>
      <c r="B31" s="1">
        <v>14800</v>
      </c>
      <c r="C31" s="1" t="s">
        <v>17</v>
      </c>
      <c r="D31" s="1" t="str">
        <f ca="1">IFERROR(__xludf.DUMMYFUNCTION("AI(""Peux-tu classifier le mot-clé dans la colonne A sur base d'une des trois catégories suivantes: Cuisine,Salle de bains, Intérieur &amp; sur-mesure "")"),"Intérieur &amp; sur-mesure")</f>
        <v>Intérieur &amp; sur-mesure</v>
      </c>
      <c r="L31" s="1" t="s">
        <v>18</v>
      </c>
      <c r="M31" s="1" t="s">
        <v>18</v>
      </c>
      <c r="O31" s="1" t="s">
        <v>67</v>
      </c>
      <c r="P31" s="1" t="s">
        <v>20</v>
      </c>
    </row>
    <row r="32" spans="1:16" ht="15.75" customHeight="1" x14ac:dyDescent="0.15">
      <c r="A32" s="1" t="s">
        <v>68</v>
      </c>
      <c r="B32" s="1">
        <v>14800</v>
      </c>
      <c r="C32" s="1" t="s">
        <v>17</v>
      </c>
      <c r="D32" s="1" t="str">
        <f ca="1">IFERROR(__xludf.DUMMYFUNCTION("AI(""Peux-tu classifier le mot-clé dans la colonne A sur base d'une des trois catégories suivantes: Cuisine,Salle de bains, Intérieur &amp; sur-mesure "")"),"Salle de bains")</f>
        <v>Salle de bains</v>
      </c>
      <c r="L32" s="1" t="s">
        <v>18</v>
      </c>
      <c r="M32" s="1" t="s">
        <v>18</v>
      </c>
      <c r="O32" s="1" t="s">
        <v>69</v>
      </c>
      <c r="P32" s="1" t="s">
        <v>20</v>
      </c>
    </row>
    <row r="33" spans="1:16" ht="15.75" customHeight="1" x14ac:dyDescent="0.15">
      <c r="A33" s="1" t="s">
        <v>70</v>
      </c>
      <c r="B33" s="1">
        <v>14800</v>
      </c>
      <c r="C33" s="1" t="s">
        <v>17</v>
      </c>
      <c r="D33" s="1" t="str">
        <f ca="1">IFERROR(__xludf.DUMMYFUNCTION("AI(""Peux-tu classifier le mot-clé dans la colonne A sur base d'une des trois catégories suivantes: Cuisine,Salle de bains, Intérieur &amp; sur-mesure "")"),"Salle de bains")</f>
        <v>Salle de bains</v>
      </c>
      <c r="L33" s="1" t="s">
        <v>18</v>
      </c>
      <c r="M33" s="1" t="s">
        <v>18</v>
      </c>
      <c r="O33" s="1" t="s">
        <v>71</v>
      </c>
      <c r="P33" s="1" t="s">
        <v>72</v>
      </c>
    </row>
    <row r="34" spans="1:16" ht="15.75" customHeight="1" x14ac:dyDescent="0.15">
      <c r="A34" s="1" t="s">
        <v>73</v>
      </c>
      <c r="B34" s="1">
        <v>14800</v>
      </c>
      <c r="C34" s="1" t="s">
        <v>17</v>
      </c>
      <c r="D34" s="1" t="str">
        <f ca="1">IFERROR(__xludf.DUMMYFUNCTION("AI(""Peux-tu classifier le mot-clé dans la colonne A sur base d'une des trois catégories suivantes: Cuisine,Salle de bains, Intérieur &amp; sur-mesure "")"),"Salle de bains")</f>
        <v>Salle de bains</v>
      </c>
      <c r="L34" s="1" t="s">
        <v>18</v>
      </c>
      <c r="M34" s="1" t="s">
        <v>18</v>
      </c>
      <c r="O34" s="1" t="s">
        <v>69</v>
      </c>
      <c r="P34" s="1" t="s">
        <v>20</v>
      </c>
    </row>
    <row r="35" spans="1:16" ht="15.75" customHeight="1" x14ac:dyDescent="0.15">
      <c r="A35" s="1" t="s">
        <v>74</v>
      </c>
      <c r="B35" s="1">
        <v>14800</v>
      </c>
      <c r="C35" s="1" t="s">
        <v>17</v>
      </c>
      <c r="D35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35" s="1" t="s">
        <v>18</v>
      </c>
      <c r="M35" s="1" t="s">
        <v>18</v>
      </c>
      <c r="O35" s="1" t="s">
        <v>75</v>
      </c>
      <c r="P35" s="1" t="s">
        <v>20</v>
      </c>
    </row>
    <row r="36" spans="1:16" ht="15.75" customHeight="1" x14ac:dyDescent="0.15">
      <c r="A36" s="1" t="s">
        <v>76</v>
      </c>
      <c r="B36" s="1">
        <v>14800</v>
      </c>
      <c r="C36" s="1" t="s">
        <v>17</v>
      </c>
      <c r="D36" s="1" t="str">
        <f ca="1">IFERROR(__xludf.DUMMYFUNCTION("AI(""Peux-tu classifier le mot-clé dans la colonne A sur base d'une des trois catégories suivantes: Cuisine,Salle de bains, Intérieur &amp; sur-mesure "")"),"Intérieur &amp; sur-mesure")</f>
        <v>Intérieur &amp; sur-mesure</v>
      </c>
      <c r="L36" s="1" t="s">
        <v>18</v>
      </c>
      <c r="M36" s="1" t="s">
        <v>18</v>
      </c>
      <c r="O36" s="1" t="s">
        <v>22</v>
      </c>
      <c r="P36" s="1" t="s">
        <v>20</v>
      </c>
    </row>
    <row r="37" spans="1:16" ht="15.75" customHeight="1" x14ac:dyDescent="0.15">
      <c r="A37" s="1" t="s">
        <v>77</v>
      </c>
      <c r="B37" s="1">
        <v>12100</v>
      </c>
      <c r="C37" s="1" t="s">
        <v>17</v>
      </c>
      <c r="D37" s="1" t="str">
        <f ca="1">IFERROR(__xludf.DUMMYFUNCTION("AI(""Peux-tu classifier le mot-clé dans la colonne A sur base d'une des trois catégories suivantes: Cuisine,Salle de bains, Intérieur &amp; sur-mesure "")"),"Intérieur &amp; sur-mesure")</f>
        <v>Intérieur &amp; sur-mesure</v>
      </c>
      <c r="L37" s="1" t="s">
        <v>18</v>
      </c>
      <c r="M37" s="1" t="s">
        <v>18</v>
      </c>
      <c r="O37" s="1" t="s">
        <v>78</v>
      </c>
      <c r="P37" s="1" t="s">
        <v>20</v>
      </c>
    </row>
    <row r="38" spans="1:16" ht="15.75" customHeight="1" x14ac:dyDescent="0.15">
      <c r="A38" s="1" t="s">
        <v>79</v>
      </c>
      <c r="B38" s="1">
        <v>12100</v>
      </c>
      <c r="C38" s="1" t="s">
        <v>17</v>
      </c>
      <c r="D38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38" s="1" t="s">
        <v>18</v>
      </c>
      <c r="M38" s="1" t="s">
        <v>18</v>
      </c>
      <c r="O38" s="1" t="s">
        <v>80</v>
      </c>
      <c r="P38" s="1" t="s">
        <v>20</v>
      </c>
    </row>
    <row r="39" spans="1:16" ht="15.75" customHeight="1" x14ac:dyDescent="0.15">
      <c r="A39" s="1" t="s">
        <v>81</v>
      </c>
      <c r="B39" s="1">
        <v>12100</v>
      </c>
      <c r="C39" s="1" t="s">
        <v>17</v>
      </c>
      <c r="D39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39" s="1" t="s">
        <v>18</v>
      </c>
      <c r="M39" s="1" t="s">
        <v>18</v>
      </c>
      <c r="O39" s="1" t="s">
        <v>82</v>
      </c>
      <c r="P39" s="1" t="s">
        <v>20</v>
      </c>
    </row>
    <row r="40" spans="1:16" ht="15.75" customHeight="1" x14ac:dyDescent="0.15">
      <c r="A40" s="1" t="s">
        <v>83</v>
      </c>
      <c r="B40" s="1">
        <v>12100</v>
      </c>
      <c r="C40" s="1" t="s">
        <v>17</v>
      </c>
      <c r="D40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40" s="1" t="s">
        <v>18</v>
      </c>
      <c r="M40" s="1" t="s">
        <v>18</v>
      </c>
      <c r="O40" s="1" t="s">
        <v>82</v>
      </c>
      <c r="P40" s="1" t="s">
        <v>20</v>
      </c>
    </row>
    <row r="41" spans="1:16" ht="15.75" customHeight="1" x14ac:dyDescent="0.15">
      <c r="A41" s="1" t="s">
        <v>84</v>
      </c>
      <c r="B41" s="1">
        <v>12100</v>
      </c>
      <c r="C41" s="1" t="s">
        <v>17</v>
      </c>
      <c r="D41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41" s="1" t="s">
        <v>18</v>
      </c>
      <c r="M41" s="1" t="s">
        <v>18</v>
      </c>
      <c r="O41" s="1" t="s">
        <v>80</v>
      </c>
      <c r="P41" s="1" t="s">
        <v>20</v>
      </c>
    </row>
    <row r="42" spans="1:16" ht="15.75" customHeight="1" x14ac:dyDescent="0.15">
      <c r="A42" s="1" t="s">
        <v>85</v>
      </c>
      <c r="B42" s="1">
        <v>9900</v>
      </c>
      <c r="C42" s="1" t="s">
        <v>17</v>
      </c>
      <c r="D42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42" s="1" t="s">
        <v>18</v>
      </c>
      <c r="M42" s="1" t="s">
        <v>18</v>
      </c>
      <c r="O42" s="1" t="s">
        <v>86</v>
      </c>
      <c r="P42" s="1" t="s">
        <v>20</v>
      </c>
    </row>
    <row r="43" spans="1:16" ht="15.75" customHeight="1" x14ac:dyDescent="0.15">
      <c r="A43" s="1" t="s">
        <v>87</v>
      </c>
      <c r="B43" s="1">
        <v>9900</v>
      </c>
      <c r="C43" s="1" t="s">
        <v>17</v>
      </c>
      <c r="D43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43" s="1" t="s">
        <v>18</v>
      </c>
      <c r="M43" s="1" t="s">
        <v>18</v>
      </c>
      <c r="O43" s="1" t="s">
        <v>88</v>
      </c>
      <c r="P43" s="1" t="s">
        <v>20</v>
      </c>
    </row>
    <row r="44" spans="1:16" ht="15.75" customHeight="1" x14ac:dyDescent="0.15">
      <c r="A44" s="1" t="s">
        <v>89</v>
      </c>
      <c r="B44" s="1">
        <v>9900</v>
      </c>
      <c r="C44" s="1" t="s">
        <v>17</v>
      </c>
      <c r="D44" s="1" t="str">
        <f ca="1">IFERROR(__xludf.DUMMYFUNCTION("AI(""Peux-tu classifier le mot-clé dans la colonne A sur base d'une des trois catégories suivantes: Cuisine,Salle de bains, Intérieur &amp; sur-mesure "")"),"Intérieur &amp; sur-mesure")</f>
        <v>Intérieur &amp; sur-mesure</v>
      </c>
      <c r="L44" s="1" t="s">
        <v>18</v>
      </c>
      <c r="M44" s="1" t="s">
        <v>18</v>
      </c>
      <c r="O44" s="1" t="s">
        <v>45</v>
      </c>
      <c r="P44" s="1" t="s">
        <v>20</v>
      </c>
    </row>
    <row r="45" spans="1:16" ht="15.75" customHeight="1" x14ac:dyDescent="0.15">
      <c r="A45" s="1" t="s">
        <v>90</v>
      </c>
      <c r="B45" s="1">
        <v>9900</v>
      </c>
      <c r="C45" s="1" t="s">
        <v>17</v>
      </c>
      <c r="D45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45" s="1" t="s">
        <v>18</v>
      </c>
      <c r="M45" s="1" t="s">
        <v>18</v>
      </c>
      <c r="O45" s="1" t="s">
        <v>86</v>
      </c>
      <c r="P45" s="1" t="s">
        <v>20</v>
      </c>
    </row>
    <row r="46" spans="1:16" ht="15.75" customHeight="1" x14ac:dyDescent="0.15">
      <c r="A46" s="1" t="s">
        <v>91</v>
      </c>
      <c r="B46" s="1">
        <v>9900</v>
      </c>
      <c r="C46" s="1" t="s">
        <v>17</v>
      </c>
      <c r="D46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46" s="1" t="s">
        <v>18</v>
      </c>
      <c r="M46" s="1" t="s">
        <v>18</v>
      </c>
      <c r="O46" s="1" t="s">
        <v>92</v>
      </c>
      <c r="P46" s="1" t="s">
        <v>20</v>
      </c>
    </row>
    <row r="47" spans="1:16" ht="15.75" customHeight="1" x14ac:dyDescent="0.15">
      <c r="A47" s="1" t="s">
        <v>93</v>
      </c>
      <c r="B47" s="1">
        <v>9900</v>
      </c>
      <c r="C47" s="1" t="s">
        <v>17</v>
      </c>
      <c r="D47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47" s="1" t="s">
        <v>18</v>
      </c>
      <c r="M47" s="1" t="s">
        <v>18</v>
      </c>
      <c r="O47" s="1" t="s">
        <v>88</v>
      </c>
      <c r="P47" s="1" t="s">
        <v>20</v>
      </c>
    </row>
    <row r="48" spans="1:16" ht="15.75" customHeight="1" x14ac:dyDescent="0.15">
      <c r="A48" s="1" t="s">
        <v>94</v>
      </c>
      <c r="B48" s="1">
        <v>9900</v>
      </c>
      <c r="C48" s="1" t="s">
        <v>17</v>
      </c>
      <c r="D48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48" s="1" t="s">
        <v>18</v>
      </c>
      <c r="M48" s="1" t="s">
        <v>18</v>
      </c>
      <c r="O48" s="1" t="s">
        <v>28</v>
      </c>
      <c r="P48" s="1" t="s">
        <v>20</v>
      </c>
    </row>
    <row r="49" spans="1:16" ht="15.75" customHeight="1" x14ac:dyDescent="0.15">
      <c r="A49" s="1" t="s">
        <v>95</v>
      </c>
      <c r="B49" s="1">
        <v>9900</v>
      </c>
      <c r="C49" s="1" t="s">
        <v>17</v>
      </c>
      <c r="D49" s="1" t="str">
        <f ca="1">IFERROR(__xludf.DUMMYFUNCTION("AI(""Peux-tu classifier le mot-clé dans la colonne A sur base d'une des trois catégories suivantes: Cuisine,Salle de bains, Intérieur &amp; sur-mesure "")"),"Salle de bains")</f>
        <v>Salle de bains</v>
      </c>
      <c r="L49" s="1" t="s">
        <v>18</v>
      </c>
      <c r="M49" s="1" t="s">
        <v>18</v>
      </c>
      <c r="O49" s="1" t="s">
        <v>96</v>
      </c>
      <c r="P49" s="1" t="s">
        <v>20</v>
      </c>
    </row>
    <row r="50" spans="1:16" ht="15.75" customHeight="1" x14ac:dyDescent="0.15">
      <c r="A50" s="1" t="s">
        <v>97</v>
      </c>
      <c r="B50" s="1">
        <v>9900</v>
      </c>
      <c r="C50" s="1" t="s">
        <v>17</v>
      </c>
      <c r="D50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50" s="1" t="s">
        <v>18</v>
      </c>
      <c r="M50" s="1" t="s">
        <v>18</v>
      </c>
      <c r="O50" s="1" t="s">
        <v>98</v>
      </c>
      <c r="P50" s="1" t="s">
        <v>20</v>
      </c>
    </row>
    <row r="51" spans="1:16" ht="15.75" customHeight="1" x14ac:dyDescent="0.15">
      <c r="A51" s="1" t="s">
        <v>99</v>
      </c>
      <c r="B51" s="1">
        <v>9900</v>
      </c>
      <c r="C51" s="1" t="s">
        <v>17</v>
      </c>
      <c r="D51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51" s="1" t="s">
        <v>18</v>
      </c>
      <c r="M51" s="1" t="s">
        <v>18</v>
      </c>
      <c r="O51" s="1" t="s">
        <v>88</v>
      </c>
      <c r="P51" s="1" t="s">
        <v>20</v>
      </c>
    </row>
    <row r="52" spans="1:16" ht="13" x14ac:dyDescent="0.15">
      <c r="A52" s="1" t="s">
        <v>100</v>
      </c>
      <c r="B52" s="1">
        <v>8100</v>
      </c>
      <c r="C52" s="1" t="s">
        <v>17</v>
      </c>
      <c r="D52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52" s="1" t="s">
        <v>18</v>
      </c>
      <c r="M52" s="1" t="s">
        <v>18</v>
      </c>
      <c r="O52" s="1" t="s">
        <v>101</v>
      </c>
      <c r="P52" s="1" t="s">
        <v>20</v>
      </c>
    </row>
    <row r="53" spans="1:16" ht="13" x14ac:dyDescent="0.15">
      <c r="A53" s="1" t="s">
        <v>102</v>
      </c>
      <c r="B53" s="1">
        <v>8100</v>
      </c>
      <c r="C53" s="1" t="s">
        <v>17</v>
      </c>
      <c r="D53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53" s="1" t="s">
        <v>18</v>
      </c>
      <c r="M53" s="1" t="s">
        <v>18</v>
      </c>
      <c r="O53" s="1" t="s">
        <v>103</v>
      </c>
      <c r="P53" s="1" t="s">
        <v>20</v>
      </c>
    </row>
    <row r="54" spans="1:16" ht="13" x14ac:dyDescent="0.15">
      <c r="A54" s="1" t="s">
        <v>104</v>
      </c>
      <c r="B54" s="1">
        <v>8100</v>
      </c>
      <c r="C54" s="1" t="s">
        <v>17</v>
      </c>
      <c r="D54" s="1" t="str">
        <f ca="1">IFERROR(__xludf.DUMMYFUNCTION("AI(""Peux-tu classifier le mot-clé dans la colonne A sur base d'une des trois catégories suivantes: Cuisine,Salle de bains, Intérieur &amp; sur-mesure "")"),"Salle de bains")</f>
        <v>Salle de bains</v>
      </c>
      <c r="L54" s="1" t="s">
        <v>18</v>
      </c>
      <c r="M54" s="1" t="s">
        <v>18</v>
      </c>
      <c r="O54" s="1" t="s">
        <v>33</v>
      </c>
      <c r="P54" s="1" t="s">
        <v>20</v>
      </c>
    </row>
    <row r="55" spans="1:16" ht="13" x14ac:dyDescent="0.15">
      <c r="A55" s="1" t="s">
        <v>105</v>
      </c>
      <c r="B55" s="1">
        <v>8100</v>
      </c>
      <c r="C55" s="1" t="s">
        <v>17</v>
      </c>
      <c r="D55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55" s="1" t="s">
        <v>18</v>
      </c>
      <c r="M55" s="1" t="s">
        <v>18</v>
      </c>
      <c r="O55" s="1" t="s">
        <v>50</v>
      </c>
      <c r="P55" s="1" t="s">
        <v>20</v>
      </c>
    </row>
    <row r="56" spans="1:16" ht="13" x14ac:dyDescent="0.15">
      <c r="A56" s="1" t="s">
        <v>106</v>
      </c>
      <c r="B56" s="1">
        <v>8100</v>
      </c>
      <c r="C56" s="1" t="s">
        <v>17</v>
      </c>
      <c r="D56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56" s="1" t="s">
        <v>18</v>
      </c>
      <c r="M56" s="1" t="s">
        <v>18</v>
      </c>
      <c r="O56" s="1" t="s">
        <v>50</v>
      </c>
      <c r="P56" s="1" t="s">
        <v>20</v>
      </c>
    </row>
    <row r="57" spans="1:16" ht="13" x14ac:dyDescent="0.15">
      <c r="A57" s="1" t="s">
        <v>107</v>
      </c>
      <c r="B57" s="1">
        <v>8100</v>
      </c>
      <c r="C57" s="1" t="s">
        <v>17</v>
      </c>
      <c r="D57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57" s="1" t="s">
        <v>18</v>
      </c>
      <c r="M57" s="1" t="s">
        <v>18</v>
      </c>
      <c r="O57" s="1" t="s">
        <v>108</v>
      </c>
      <c r="P57" s="1" t="s">
        <v>20</v>
      </c>
    </row>
    <row r="58" spans="1:16" ht="13" x14ac:dyDescent="0.15">
      <c r="A58" s="1" t="s">
        <v>109</v>
      </c>
      <c r="B58" s="1">
        <v>8100</v>
      </c>
      <c r="C58" s="1" t="s">
        <v>17</v>
      </c>
      <c r="D58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58" s="1" t="s">
        <v>18</v>
      </c>
      <c r="M58" s="1" t="s">
        <v>18</v>
      </c>
      <c r="O58" s="1" t="s">
        <v>110</v>
      </c>
      <c r="P58" s="1" t="s">
        <v>20</v>
      </c>
    </row>
    <row r="59" spans="1:16" ht="13" x14ac:dyDescent="0.15">
      <c r="A59" s="1" t="s">
        <v>111</v>
      </c>
      <c r="B59" s="1">
        <v>8100</v>
      </c>
      <c r="C59" s="1" t="s">
        <v>17</v>
      </c>
      <c r="D59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59" s="1" t="s">
        <v>18</v>
      </c>
      <c r="M59" s="1" t="s">
        <v>18</v>
      </c>
      <c r="O59" s="1" t="s">
        <v>112</v>
      </c>
      <c r="P59" s="1" t="s">
        <v>20</v>
      </c>
    </row>
    <row r="60" spans="1:16" ht="13" x14ac:dyDescent="0.15">
      <c r="A60" s="1" t="s">
        <v>113</v>
      </c>
      <c r="B60" s="1">
        <v>8100</v>
      </c>
      <c r="C60" s="1" t="s">
        <v>17</v>
      </c>
      <c r="D60" s="1" t="str">
        <f ca="1">IFERROR(__xludf.DUMMYFUNCTION("AI(""Peux-tu classifier le mot-clé dans la colonne A sur base d'une des trois catégories suivantes: Cuisine,Salle de bains, Intérieur &amp; sur-mesure "")"),"Intérieur &amp; Sur-mesure")</f>
        <v>Intérieur &amp; Sur-mesure</v>
      </c>
      <c r="L60" s="1" t="s">
        <v>18</v>
      </c>
      <c r="M60" s="1" t="s">
        <v>18</v>
      </c>
      <c r="O60" s="1" t="s">
        <v>71</v>
      </c>
      <c r="P60" s="1" t="s">
        <v>20</v>
      </c>
    </row>
    <row r="61" spans="1:16" ht="13" x14ac:dyDescent="0.15">
      <c r="A61" s="1" t="s">
        <v>114</v>
      </c>
      <c r="B61" s="1">
        <v>8100</v>
      </c>
      <c r="C61" s="1" t="s">
        <v>17</v>
      </c>
      <c r="D61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61" s="1" t="s">
        <v>18</v>
      </c>
      <c r="M61" s="1" t="s">
        <v>18</v>
      </c>
      <c r="O61" s="1" t="s">
        <v>33</v>
      </c>
      <c r="P61" s="1" t="s">
        <v>20</v>
      </c>
    </row>
    <row r="62" spans="1:16" ht="13" x14ac:dyDescent="0.15">
      <c r="A62" s="1" t="s">
        <v>115</v>
      </c>
      <c r="B62" s="1">
        <v>8100</v>
      </c>
      <c r="C62" s="1" t="s">
        <v>17</v>
      </c>
      <c r="D62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62" s="1" t="s">
        <v>18</v>
      </c>
      <c r="M62" s="1" t="s">
        <v>18</v>
      </c>
      <c r="O62" s="1" t="s">
        <v>116</v>
      </c>
      <c r="P62" s="1" t="s">
        <v>20</v>
      </c>
    </row>
    <row r="63" spans="1:16" ht="13" x14ac:dyDescent="0.15">
      <c r="A63" s="1" t="s">
        <v>117</v>
      </c>
      <c r="B63" s="1">
        <v>8100</v>
      </c>
      <c r="C63" s="1" t="s">
        <v>17</v>
      </c>
      <c r="D63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63" s="1" t="s">
        <v>18</v>
      </c>
      <c r="M63" s="1" t="s">
        <v>18</v>
      </c>
      <c r="O63" s="1" t="s">
        <v>118</v>
      </c>
      <c r="P63" s="1" t="s">
        <v>20</v>
      </c>
    </row>
    <row r="64" spans="1:16" ht="13" x14ac:dyDescent="0.15">
      <c r="A64" s="1" t="s">
        <v>119</v>
      </c>
      <c r="B64" s="1">
        <v>8100</v>
      </c>
      <c r="C64" s="1" t="s">
        <v>17</v>
      </c>
      <c r="D64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64" s="1" t="s">
        <v>18</v>
      </c>
      <c r="M64" s="1" t="s">
        <v>18</v>
      </c>
      <c r="O64" s="1" t="s">
        <v>96</v>
      </c>
      <c r="P64" s="1" t="s">
        <v>20</v>
      </c>
    </row>
    <row r="65" spans="1:16" ht="13" x14ac:dyDescent="0.15">
      <c r="A65" s="1" t="s">
        <v>120</v>
      </c>
      <c r="B65" s="1">
        <v>6600</v>
      </c>
      <c r="C65" s="1" t="s">
        <v>17</v>
      </c>
      <c r="D65" s="1" t="str">
        <f ca="1">IFERROR(__xludf.DUMMYFUNCTION("AI(""Peux-tu classifier le mot-clé dans la colonne A sur base d'une des trois catégories suivantes: Cuisine,Salle de bains, Intérieur &amp; sur-mesure "")"),"Intérieur &amp; sur-mesure")</f>
        <v>Intérieur &amp; sur-mesure</v>
      </c>
      <c r="L65" s="1" t="s">
        <v>18</v>
      </c>
      <c r="M65" s="1" t="s">
        <v>18</v>
      </c>
      <c r="O65" s="1" t="s">
        <v>67</v>
      </c>
      <c r="P65" s="1" t="s">
        <v>20</v>
      </c>
    </row>
    <row r="66" spans="1:16" ht="13" x14ac:dyDescent="0.15">
      <c r="A66" s="1" t="s">
        <v>121</v>
      </c>
      <c r="B66" s="1">
        <v>6600</v>
      </c>
      <c r="C66" s="1" t="s">
        <v>17</v>
      </c>
      <c r="D66" s="1" t="str">
        <f ca="1">IFERROR(__xludf.DUMMYFUNCTION("AI(""Peux-tu classifier le mot-clé dans la colonne A sur base d'une des trois catégories suivantes: Cuisine,Salle de bains, Intérieur &amp; sur-mesure "")"),"Salle de bains")</f>
        <v>Salle de bains</v>
      </c>
      <c r="L66" s="1" t="s">
        <v>18</v>
      </c>
      <c r="M66" s="1" t="s">
        <v>18</v>
      </c>
      <c r="O66" s="1" t="s">
        <v>122</v>
      </c>
      <c r="P66" s="1" t="s">
        <v>20</v>
      </c>
    </row>
    <row r="67" spans="1:16" ht="13" x14ac:dyDescent="0.15">
      <c r="A67" s="1" t="s">
        <v>123</v>
      </c>
      <c r="B67" s="1">
        <v>6600</v>
      </c>
      <c r="C67" s="1" t="s">
        <v>17</v>
      </c>
      <c r="D67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67" s="1" t="s">
        <v>18</v>
      </c>
      <c r="M67" s="1" t="s">
        <v>18</v>
      </c>
      <c r="O67" s="1" t="s">
        <v>124</v>
      </c>
      <c r="P67" s="1" t="s">
        <v>20</v>
      </c>
    </row>
    <row r="68" spans="1:16" ht="13" x14ac:dyDescent="0.15">
      <c r="A68" s="1" t="s">
        <v>125</v>
      </c>
      <c r="B68" s="1">
        <v>6600</v>
      </c>
      <c r="C68" s="1" t="s">
        <v>17</v>
      </c>
      <c r="D68" s="1" t="str">
        <f ca="1">IFERROR(__xludf.DUMMYFUNCTION("AI(""Peux-tu classifier le mot-clé dans la colonne A sur base d'une des trois catégories suivantes: Cuisine,Salle de bains, Intérieur &amp; sur-mesure "")"),"Intérieur &amp; sur-mesure")</f>
        <v>Intérieur &amp; sur-mesure</v>
      </c>
      <c r="L68" s="1" t="s">
        <v>18</v>
      </c>
      <c r="M68" s="1" t="s">
        <v>18</v>
      </c>
      <c r="O68" s="1" t="s">
        <v>126</v>
      </c>
      <c r="P68" s="1" t="s">
        <v>20</v>
      </c>
    </row>
    <row r="69" spans="1:16" ht="13" x14ac:dyDescent="0.15">
      <c r="A69" s="1" t="s">
        <v>127</v>
      </c>
      <c r="B69" s="1">
        <v>6600</v>
      </c>
      <c r="C69" s="1" t="s">
        <v>17</v>
      </c>
      <c r="D69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69" s="1" t="s">
        <v>18</v>
      </c>
      <c r="M69" s="1" t="s">
        <v>18</v>
      </c>
      <c r="O69" s="1" t="s">
        <v>128</v>
      </c>
      <c r="P69" s="1" t="s">
        <v>20</v>
      </c>
    </row>
    <row r="70" spans="1:16" ht="13" x14ac:dyDescent="0.15">
      <c r="A70" s="1" t="s">
        <v>129</v>
      </c>
      <c r="B70" s="1">
        <v>6600</v>
      </c>
      <c r="C70" s="1" t="s">
        <v>17</v>
      </c>
      <c r="D70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70" s="1" t="s">
        <v>18</v>
      </c>
      <c r="M70" s="1" t="s">
        <v>18</v>
      </c>
      <c r="O70" s="1" t="s">
        <v>130</v>
      </c>
      <c r="P70" s="1" t="s">
        <v>20</v>
      </c>
    </row>
    <row r="71" spans="1:16" ht="13" x14ac:dyDescent="0.15">
      <c r="A71" s="1" t="s">
        <v>131</v>
      </c>
      <c r="B71" s="1">
        <v>6600</v>
      </c>
      <c r="C71" s="1" t="s">
        <v>17</v>
      </c>
      <c r="D71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71" s="1" t="s">
        <v>18</v>
      </c>
      <c r="M71" s="1" t="s">
        <v>18</v>
      </c>
      <c r="O71" s="1" t="s">
        <v>128</v>
      </c>
      <c r="P71" s="1" t="s">
        <v>20</v>
      </c>
    </row>
    <row r="72" spans="1:16" ht="13" x14ac:dyDescent="0.15">
      <c r="A72" s="1" t="s">
        <v>132</v>
      </c>
      <c r="B72" s="1">
        <v>6600</v>
      </c>
      <c r="C72" s="1" t="s">
        <v>17</v>
      </c>
      <c r="D72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72" s="1" t="s">
        <v>18</v>
      </c>
      <c r="M72" s="1" t="s">
        <v>18</v>
      </c>
      <c r="O72" s="1" t="s">
        <v>133</v>
      </c>
      <c r="P72" s="1" t="s">
        <v>20</v>
      </c>
    </row>
    <row r="73" spans="1:16" ht="13" x14ac:dyDescent="0.15">
      <c r="A73" s="1" t="s">
        <v>134</v>
      </c>
      <c r="B73" s="1">
        <v>5400</v>
      </c>
      <c r="C73" s="1" t="s">
        <v>17</v>
      </c>
      <c r="D73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73" s="1" t="s">
        <v>18</v>
      </c>
      <c r="M73" s="1" t="s">
        <v>18</v>
      </c>
      <c r="O73" s="1" t="s">
        <v>26</v>
      </c>
      <c r="P73" s="1" t="s">
        <v>20</v>
      </c>
    </row>
    <row r="74" spans="1:16" ht="13" x14ac:dyDescent="0.15">
      <c r="A74" s="1" t="s">
        <v>135</v>
      </c>
      <c r="B74" s="1">
        <v>5400</v>
      </c>
      <c r="C74" s="1" t="s">
        <v>17</v>
      </c>
      <c r="D74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74" s="1" t="s">
        <v>18</v>
      </c>
      <c r="M74" s="1" t="s">
        <v>18</v>
      </c>
      <c r="O74" s="1" t="s">
        <v>136</v>
      </c>
      <c r="P74" s="1" t="s">
        <v>20</v>
      </c>
    </row>
    <row r="75" spans="1:16" ht="13" x14ac:dyDescent="0.15">
      <c r="A75" s="1" t="s">
        <v>137</v>
      </c>
      <c r="B75" s="1">
        <v>5400</v>
      </c>
      <c r="C75" s="1" t="s">
        <v>17</v>
      </c>
      <c r="D75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75" s="1" t="s">
        <v>18</v>
      </c>
      <c r="M75" s="1" t="s">
        <v>18</v>
      </c>
      <c r="O75" s="1" t="s">
        <v>138</v>
      </c>
      <c r="P75" s="1" t="s">
        <v>20</v>
      </c>
    </row>
    <row r="76" spans="1:16" ht="13" x14ac:dyDescent="0.15">
      <c r="A76" s="1" t="s">
        <v>139</v>
      </c>
      <c r="B76" s="1">
        <v>5400</v>
      </c>
      <c r="C76" s="1" t="s">
        <v>17</v>
      </c>
      <c r="D76" s="1" t="str">
        <f ca="1">IFERROR(__xludf.DUMMYFUNCTION("AI(""Peux-tu classifier le mot-clé dans la colonne A sur base d'une des trois catégories suivantes: Cuisine,Salle de bains, Intérieur &amp; sur-mesure "")"),"Salle de bains")</f>
        <v>Salle de bains</v>
      </c>
      <c r="L76" s="1" t="s">
        <v>18</v>
      </c>
      <c r="M76" s="1" t="s">
        <v>18</v>
      </c>
      <c r="O76" s="1" t="s">
        <v>31</v>
      </c>
      <c r="P76" s="1" t="s">
        <v>20</v>
      </c>
    </row>
    <row r="77" spans="1:16" ht="13" x14ac:dyDescent="0.15">
      <c r="A77" s="1" t="s">
        <v>140</v>
      </c>
      <c r="B77" s="1">
        <v>5400</v>
      </c>
      <c r="C77" s="1" t="s">
        <v>17</v>
      </c>
      <c r="D77" s="1" t="str">
        <f ca="1">IFERROR(__xludf.DUMMYFUNCTION("AI(""Peux-tu classifier le mot-clé dans la colonne A sur base d'une des trois catégories suivantes: Cuisine,Salle de bains, Intérieur &amp; sur-mesure "")"),"Salle de bains")</f>
        <v>Salle de bains</v>
      </c>
      <c r="L77" s="1" t="s">
        <v>18</v>
      </c>
      <c r="M77" s="1" t="s">
        <v>18</v>
      </c>
      <c r="O77" s="1" t="s">
        <v>141</v>
      </c>
      <c r="P77" s="1" t="s">
        <v>20</v>
      </c>
    </row>
    <row r="78" spans="1:16" ht="13" x14ac:dyDescent="0.15">
      <c r="A78" s="1" t="s">
        <v>142</v>
      </c>
      <c r="B78" s="1">
        <v>5400</v>
      </c>
      <c r="C78" s="1" t="s">
        <v>17</v>
      </c>
      <c r="D78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78" s="1" t="s">
        <v>18</v>
      </c>
      <c r="M78" s="1" t="s">
        <v>18</v>
      </c>
      <c r="O78" s="1" t="s">
        <v>42</v>
      </c>
      <c r="P78" s="1" t="s">
        <v>20</v>
      </c>
    </row>
    <row r="79" spans="1:16" ht="13" x14ac:dyDescent="0.15">
      <c r="A79" s="1" t="s">
        <v>143</v>
      </c>
      <c r="B79" s="1">
        <v>5400</v>
      </c>
      <c r="C79" s="1" t="s">
        <v>17</v>
      </c>
      <c r="D79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79" s="1" t="s">
        <v>18</v>
      </c>
      <c r="M79" s="1" t="s">
        <v>18</v>
      </c>
      <c r="O79" s="1" t="s">
        <v>59</v>
      </c>
      <c r="P79" s="1" t="s">
        <v>20</v>
      </c>
    </row>
    <row r="80" spans="1:16" ht="13" x14ac:dyDescent="0.15">
      <c r="A80" s="1" t="s">
        <v>144</v>
      </c>
      <c r="B80" s="1">
        <v>5400</v>
      </c>
      <c r="C80" s="1" t="s">
        <v>17</v>
      </c>
      <c r="D80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80" s="1" t="s">
        <v>18</v>
      </c>
      <c r="M80" s="1" t="s">
        <v>18</v>
      </c>
      <c r="O80" s="1" t="s">
        <v>145</v>
      </c>
      <c r="P80" s="1" t="s">
        <v>20</v>
      </c>
    </row>
    <row r="81" spans="1:16" ht="13" x14ac:dyDescent="0.15">
      <c r="A81" s="1" t="s">
        <v>146</v>
      </c>
      <c r="B81" s="1">
        <v>5400</v>
      </c>
      <c r="C81" s="1" t="s">
        <v>17</v>
      </c>
      <c r="D81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81" s="1" t="s">
        <v>18</v>
      </c>
      <c r="M81" s="1" t="s">
        <v>18</v>
      </c>
      <c r="O81" s="1" t="s">
        <v>147</v>
      </c>
      <c r="P81" s="1" t="s">
        <v>20</v>
      </c>
    </row>
    <row r="82" spans="1:16" ht="13" x14ac:dyDescent="0.15">
      <c r="A82" s="1" t="s">
        <v>148</v>
      </c>
      <c r="B82" s="1">
        <v>5400</v>
      </c>
      <c r="C82" s="1" t="s">
        <v>17</v>
      </c>
      <c r="D82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82" s="1" t="s">
        <v>18</v>
      </c>
      <c r="M82" s="1" t="s">
        <v>18</v>
      </c>
      <c r="O82" s="1" t="s">
        <v>136</v>
      </c>
      <c r="P82" s="1" t="s">
        <v>20</v>
      </c>
    </row>
    <row r="83" spans="1:16" ht="13" x14ac:dyDescent="0.15">
      <c r="A83" s="1" t="s">
        <v>149</v>
      </c>
      <c r="B83" s="1">
        <v>4400</v>
      </c>
      <c r="C83" s="1" t="s">
        <v>17</v>
      </c>
      <c r="D83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83" s="1" t="s">
        <v>18</v>
      </c>
      <c r="M83" s="1" t="s">
        <v>18</v>
      </c>
      <c r="O83" s="1" t="s">
        <v>122</v>
      </c>
      <c r="P83" s="1" t="s">
        <v>20</v>
      </c>
    </row>
    <row r="84" spans="1:16" ht="13" x14ac:dyDescent="0.15">
      <c r="A84" s="1" t="s">
        <v>150</v>
      </c>
      <c r="B84" s="1">
        <v>4400</v>
      </c>
      <c r="C84" s="1" t="s">
        <v>17</v>
      </c>
      <c r="D84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84" s="1" t="s">
        <v>18</v>
      </c>
      <c r="M84" s="1" t="s">
        <v>18</v>
      </c>
      <c r="O84" s="1" t="s">
        <v>151</v>
      </c>
      <c r="P84" s="1" t="s">
        <v>20</v>
      </c>
    </row>
    <row r="85" spans="1:16" ht="13" x14ac:dyDescent="0.15">
      <c r="A85" s="1" t="s">
        <v>152</v>
      </c>
      <c r="B85" s="1">
        <v>4400</v>
      </c>
      <c r="C85" s="1" t="s">
        <v>17</v>
      </c>
      <c r="D85" s="1" t="str">
        <f ca="1">IFERROR(__xludf.DUMMYFUNCTION("AI(""Peux-tu classifier le mot-clé dans la colonne A sur base d'une des trois catégories suivantes: Cuisine,Salle de bains, Intérieur &amp; sur-mesure "")"),"Intérieur &amp; Sur-mesure")</f>
        <v>Intérieur &amp; Sur-mesure</v>
      </c>
      <c r="L85" s="1" t="s">
        <v>18</v>
      </c>
      <c r="M85" s="1" t="s">
        <v>18</v>
      </c>
      <c r="O85" s="1" t="s">
        <v>35</v>
      </c>
      <c r="P85" s="1" t="s">
        <v>20</v>
      </c>
    </row>
    <row r="86" spans="1:16" ht="13" x14ac:dyDescent="0.15">
      <c r="A86" s="1" t="s">
        <v>153</v>
      </c>
      <c r="B86" s="1">
        <v>4400</v>
      </c>
      <c r="C86" s="1" t="s">
        <v>17</v>
      </c>
      <c r="D86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86" s="1" t="s">
        <v>18</v>
      </c>
      <c r="M86" s="1" t="s">
        <v>18</v>
      </c>
      <c r="O86" s="1" t="s">
        <v>147</v>
      </c>
      <c r="P86" s="1" t="s">
        <v>20</v>
      </c>
    </row>
    <row r="87" spans="1:16" ht="13" x14ac:dyDescent="0.15">
      <c r="A87" s="1" t="s">
        <v>154</v>
      </c>
      <c r="B87" s="1">
        <v>4400</v>
      </c>
      <c r="C87" s="1" t="s">
        <v>17</v>
      </c>
      <c r="D87" s="1" t="str">
        <f ca="1">IFERROR(__xludf.DUMMYFUNCTION("AI(""Peux-tu classifier le mot-clé dans la colonne A sur base d'une des trois catégories suivantes: Cuisine,Salle de bains, Intérieur &amp; sur-mesure "")"),"Salle de bains")</f>
        <v>Salle de bains</v>
      </c>
      <c r="L87" s="1" t="s">
        <v>18</v>
      </c>
      <c r="M87" s="1" t="s">
        <v>18</v>
      </c>
      <c r="O87" s="1" t="s">
        <v>155</v>
      </c>
      <c r="P87" s="1" t="s">
        <v>20</v>
      </c>
    </row>
    <row r="88" spans="1:16" ht="13" x14ac:dyDescent="0.15">
      <c r="A88" s="1" t="s">
        <v>156</v>
      </c>
      <c r="B88" s="1">
        <v>4400</v>
      </c>
      <c r="C88" s="1" t="s">
        <v>17</v>
      </c>
      <c r="D88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88" s="1" t="s">
        <v>18</v>
      </c>
      <c r="M88" s="1" t="s">
        <v>18</v>
      </c>
      <c r="O88" s="1" t="s">
        <v>98</v>
      </c>
      <c r="P88" s="1" t="s">
        <v>20</v>
      </c>
    </row>
    <row r="89" spans="1:16" ht="13" x14ac:dyDescent="0.15">
      <c r="A89" s="1" t="s">
        <v>157</v>
      </c>
      <c r="B89" s="1">
        <v>4400</v>
      </c>
      <c r="C89" s="1" t="s">
        <v>17</v>
      </c>
      <c r="D89" s="1" t="str">
        <f ca="1">IFERROR(__xludf.DUMMYFUNCTION("AI(""Peux-tu classifier le mot-clé dans la colonne A sur base d'une des trois catégories suivantes: Cuisine,Salle de bains, Intérieur &amp; sur-mesure "")"),"Intérieur &amp; sur-mesure")</f>
        <v>Intérieur &amp; sur-mesure</v>
      </c>
      <c r="L89" s="1" t="s">
        <v>18</v>
      </c>
      <c r="M89" s="1" t="s">
        <v>18</v>
      </c>
      <c r="O89" s="1" t="s">
        <v>158</v>
      </c>
      <c r="P89" s="1" t="s">
        <v>20</v>
      </c>
    </row>
    <row r="90" spans="1:16" ht="13" x14ac:dyDescent="0.15">
      <c r="A90" s="1" t="s">
        <v>159</v>
      </c>
      <c r="B90" s="1">
        <v>4400</v>
      </c>
      <c r="C90" s="1" t="s">
        <v>17</v>
      </c>
      <c r="D90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90" s="1" t="s">
        <v>18</v>
      </c>
      <c r="M90" s="1" t="s">
        <v>18</v>
      </c>
      <c r="O90" s="1" t="s">
        <v>56</v>
      </c>
      <c r="P90" s="1" t="s">
        <v>20</v>
      </c>
    </row>
    <row r="91" spans="1:16" ht="13" x14ac:dyDescent="0.15">
      <c r="A91" s="1" t="s">
        <v>160</v>
      </c>
      <c r="B91" s="1">
        <v>4400</v>
      </c>
      <c r="C91" s="1" t="s">
        <v>17</v>
      </c>
      <c r="D91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91" s="1" t="s">
        <v>18</v>
      </c>
      <c r="M91" s="1" t="s">
        <v>18</v>
      </c>
      <c r="O91" s="1" t="s">
        <v>161</v>
      </c>
      <c r="P91" s="1" t="s">
        <v>20</v>
      </c>
    </row>
    <row r="92" spans="1:16" ht="13" x14ac:dyDescent="0.15">
      <c r="A92" s="1" t="s">
        <v>162</v>
      </c>
      <c r="B92" s="1">
        <v>4400</v>
      </c>
      <c r="C92" s="1" t="s">
        <v>17</v>
      </c>
      <c r="D92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92" s="1" t="s">
        <v>18</v>
      </c>
      <c r="M92" s="1" t="s">
        <v>18</v>
      </c>
      <c r="O92" s="1" t="s">
        <v>50</v>
      </c>
      <c r="P92" s="1" t="s">
        <v>20</v>
      </c>
    </row>
    <row r="93" spans="1:16" ht="13" x14ac:dyDescent="0.15">
      <c r="A93" s="1" t="s">
        <v>163</v>
      </c>
      <c r="B93" s="1">
        <v>4400</v>
      </c>
      <c r="C93" s="1" t="s">
        <v>17</v>
      </c>
      <c r="D93" s="1" t="str">
        <f ca="1">IFERROR(__xludf.DUMMYFUNCTION("AI(""Peux-tu classifier le mot-clé dans la colonne A sur base d'une des trois catégories suivantes: Cuisine,Salle de bains, Intérieur &amp; sur-mesure "")"),"Intérieur &amp; sur-mesure")</f>
        <v>Intérieur &amp; sur-mesure</v>
      </c>
      <c r="L93" s="1" t="s">
        <v>18</v>
      </c>
      <c r="M93" s="1" t="s">
        <v>18</v>
      </c>
      <c r="O93" s="1" t="s">
        <v>164</v>
      </c>
      <c r="P93" s="1" t="s">
        <v>20</v>
      </c>
    </row>
    <row r="94" spans="1:16" ht="13" x14ac:dyDescent="0.15">
      <c r="A94" s="1" t="s">
        <v>165</v>
      </c>
      <c r="B94" s="1">
        <v>3600</v>
      </c>
      <c r="C94" s="1" t="s">
        <v>17</v>
      </c>
      <c r="D94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94" s="1" t="s">
        <v>18</v>
      </c>
      <c r="M94" s="1" t="s">
        <v>18</v>
      </c>
      <c r="O94" s="1" t="s">
        <v>92</v>
      </c>
      <c r="P94" s="1" t="s">
        <v>20</v>
      </c>
    </row>
    <row r="95" spans="1:16" ht="13" x14ac:dyDescent="0.15">
      <c r="A95" s="1" t="s">
        <v>166</v>
      </c>
      <c r="B95" s="1">
        <v>3600</v>
      </c>
      <c r="C95" s="1" t="s">
        <v>17</v>
      </c>
      <c r="D95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95" s="1" t="s">
        <v>18</v>
      </c>
      <c r="M95" s="1" t="s">
        <v>18</v>
      </c>
      <c r="O95" s="1" t="s">
        <v>167</v>
      </c>
      <c r="P95" s="1" t="s">
        <v>20</v>
      </c>
    </row>
    <row r="96" spans="1:16" ht="13" x14ac:dyDescent="0.15">
      <c r="A96" s="1" t="s">
        <v>168</v>
      </c>
      <c r="B96" s="1">
        <v>3600</v>
      </c>
      <c r="C96" s="1" t="s">
        <v>17</v>
      </c>
      <c r="D96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96" s="1" t="s">
        <v>18</v>
      </c>
      <c r="M96" s="1" t="s">
        <v>18</v>
      </c>
      <c r="O96" s="1" t="s">
        <v>96</v>
      </c>
      <c r="P96" s="1" t="s">
        <v>20</v>
      </c>
    </row>
    <row r="97" spans="1:16" ht="13" x14ac:dyDescent="0.15">
      <c r="A97" s="1" t="s">
        <v>169</v>
      </c>
      <c r="B97" s="1">
        <v>3600</v>
      </c>
      <c r="C97" s="1" t="s">
        <v>17</v>
      </c>
      <c r="D97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97" s="1" t="s">
        <v>18</v>
      </c>
      <c r="M97" s="1" t="s">
        <v>18</v>
      </c>
      <c r="O97" s="1" t="s">
        <v>35</v>
      </c>
      <c r="P97" s="1" t="s">
        <v>20</v>
      </c>
    </row>
    <row r="98" spans="1:16" ht="13" x14ac:dyDescent="0.15">
      <c r="A98" s="1" t="s">
        <v>170</v>
      </c>
      <c r="B98" s="1">
        <v>3600</v>
      </c>
      <c r="C98" s="1" t="s">
        <v>17</v>
      </c>
      <c r="D98" s="1" t="str">
        <f ca="1">IFERROR(__xludf.DUMMYFUNCTION("AI(""Peux-tu classifier le mot-clé dans la colonne A sur base d'une des trois catégories suivantes: Cuisine,Salle de bains, Intérieur &amp; sur-mesure "")"),"Salle de bains")</f>
        <v>Salle de bains</v>
      </c>
      <c r="L98" s="1" t="s">
        <v>18</v>
      </c>
      <c r="M98" s="1" t="s">
        <v>18</v>
      </c>
      <c r="O98" s="1" t="s">
        <v>101</v>
      </c>
      <c r="P98" s="1" t="s">
        <v>20</v>
      </c>
    </row>
    <row r="99" spans="1:16" ht="13" x14ac:dyDescent="0.15">
      <c r="A99" s="1" t="s">
        <v>171</v>
      </c>
      <c r="B99" s="1">
        <v>3600</v>
      </c>
      <c r="C99" s="1" t="s">
        <v>17</v>
      </c>
      <c r="D99" s="1" t="str">
        <f ca="1">IFERROR(__xludf.DUMMYFUNCTION("AI(""Peux-tu classifier le mot-clé dans la colonne A sur base d'une des trois catégories suivantes: Cuisine,Salle de bains, Intérieur &amp; sur-mesure "")"),"Intérieur &amp; sur-mesure")</f>
        <v>Intérieur &amp; sur-mesure</v>
      </c>
      <c r="L99" s="1" t="s">
        <v>18</v>
      </c>
      <c r="M99" s="1" t="s">
        <v>18</v>
      </c>
      <c r="O99" s="1" t="s">
        <v>75</v>
      </c>
      <c r="P99" s="1" t="s">
        <v>20</v>
      </c>
    </row>
    <row r="100" spans="1:16" ht="13" x14ac:dyDescent="0.15">
      <c r="A100" s="1" t="s">
        <v>172</v>
      </c>
      <c r="B100" s="1">
        <v>3600</v>
      </c>
      <c r="C100" s="1" t="s">
        <v>17</v>
      </c>
      <c r="D100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00" s="1" t="s">
        <v>18</v>
      </c>
      <c r="M100" s="1" t="s">
        <v>18</v>
      </c>
      <c r="O100" s="1" t="s">
        <v>173</v>
      </c>
      <c r="P100" s="1" t="s">
        <v>20</v>
      </c>
    </row>
    <row r="101" spans="1:16" ht="13" x14ac:dyDescent="0.15">
      <c r="A101" s="1" t="s">
        <v>174</v>
      </c>
      <c r="B101" s="1">
        <v>3600</v>
      </c>
      <c r="C101" s="1" t="s">
        <v>17</v>
      </c>
      <c r="D101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01" s="1" t="s">
        <v>18</v>
      </c>
      <c r="M101" s="1" t="s">
        <v>18</v>
      </c>
      <c r="O101" s="1" t="s">
        <v>173</v>
      </c>
      <c r="P101" s="1" t="s">
        <v>20</v>
      </c>
    </row>
    <row r="102" spans="1:16" ht="13" x14ac:dyDescent="0.15">
      <c r="A102" s="1" t="s">
        <v>175</v>
      </c>
      <c r="B102" s="1">
        <v>3600</v>
      </c>
      <c r="C102" s="1" t="s">
        <v>17</v>
      </c>
      <c r="D102" s="1" t="str">
        <f ca="1">IFERROR(__xludf.DUMMYFUNCTION("AI(""Peux-tu classifier le mot-clé dans la colonne A sur base d'une des trois catégories suivantes: Cuisine,Salle de bains, Intérieur &amp; sur-mesure "")"),"Intérieur &amp; sur-mesure")</f>
        <v>Intérieur &amp; sur-mesure</v>
      </c>
      <c r="L102" s="1" t="s">
        <v>18</v>
      </c>
      <c r="M102" s="1" t="s">
        <v>18</v>
      </c>
      <c r="O102" s="1" t="s">
        <v>67</v>
      </c>
      <c r="P102" s="1" t="s">
        <v>20</v>
      </c>
    </row>
    <row r="103" spans="1:16" ht="13" x14ac:dyDescent="0.15">
      <c r="A103" s="1" t="s">
        <v>176</v>
      </c>
      <c r="B103" s="1">
        <v>3600</v>
      </c>
      <c r="C103" s="1" t="s">
        <v>17</v>
      </c>
      <c r="D103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03" s="1" t="s">
        <v>18</v>
      </c>
      <c r="M103" s="1" t="s">
        <v>18</v>
      </c>
      <c r="O103" s="1" t="s">
        <v>103</v>
      </c>
      <c r="P103" s="1" t="s">
        <v>20</v>
      </c>
    </row>
    <row r="104" spans="1:16" ht="13" x14ac:dyDescent="0.15">
      <c r="A104" s="1" t="s">
        <v>177</v>
      </c>
      <c r="B104" s="1">
        <v>3600</v>
      </c>
      <c r="C104" s="1" t="s">
        <v>17</v>
      </c>
      <c r="D104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04" s="1" t="s">
        <v>18</v>
      </c>
      <c r="M104" s="1" t="s">
        <v>18</v>
      </c>
      <c r="O104" s="1" t="s">
        <v>136</v>
      </c>
      <c r="P104" s="1" t="s">
        <v>20</v>
      </c>
    </row>
    <row r="105" spans="1:16" ht="13" x14ac:dyDescent="0.15">
      <c r="A105" s="1" t="s">
        <v>178</v>
      </c>
      <c r="B105" s="1">
        <v>3600</v>
      </c>
      <c r="C105" s="1" t="s">
        <v>17</v>
      </c>
      <c r="D105" s="1" t="str">
        <f ca="1">IFERROR(__xludf.DUMMYFUNCTION("AI(""Peux-tu classifier le mot-clé dans la colonne A sur base d'une des trois catégories suivantes: Cuisine,Salle de bains, Intérieur &amp; sur-mesure "")"),"Intérieur &amp; Sur-mesure")</f>
        <v>Intérieur &amp; Sur-mesure</v>
      </c>
      <c r="L105" s="1" t="s">
        <v>18</v>
      </c>
      <c r="M105" s="1" t="s">
        <v>18</v>
      </c>
      <c r="O105" s="1" t="s">
        <v>179</v>
      </c>
      <c r="P105" s="1" t="s">
        <v>20</v>
      </c>
    </row>
    <row r="106" spans="1:16" ht="13" x14ac:dyDescent="0.15">
      <c r="A106" s="1" t="s">
        <v>180</v>
      </c>
      <c r="B106" s="1">
        <v>3600</v>
      </c>
      <c r="C106" s="1" t="s">
        <v>17</v>
      </c>
      <c r="D106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06" s="1" t="s">
        <v>18</v>
      </c>
      <c r="M106" s="1" t="s">
        <v>18</v>
      </c>
      <c r="O106" s="1" t="s">
        <v>181</v>
      </c>
      <c r="P106" s="1" t="s">
        <v>20</v>
      </c>
    </row>
    <row r="107" spans="1:16" ht="13" x14ac:dyDescent="0.15">
      <c r="A107" s="1" t="s">
        <v>182</v>
      </c>
      <c r="B107" s="1">
        <v>3600</v>
      </c>
      <c r="C107" s="1" t="s">
        <v>17</v>
      </c>
      <c r="D107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07" s="1" t="s">
        <v>18</v>
      </c>
      <c r="M107" s="1" t="s">
        <v>18</v>
      </c>
      <c r="O107" s="1" t="s">
        <v>183</v>
      </c>
      <c r="P107" s="1" t="s">
        <v>20</v>
      </c>
    </row>
    <row r="108" spans="1:16" ht="13" x14ac:dyDescent="0.15">
      <c r="A108" s="1" t="s">
        <v>184</v>
      </c>
      <c r="B108" s="1">
        <v>3600</v>
      </c>
      <c r="C108" s="1" t="s">
        <v>17</v>
      </c>
      <c r="D108" s="1" t="str">
        <f ca="1">IFERROR(__xludf.DUMMYFUNCTION("AI(""Peux-tu classifier le mot-clé dans la colonne A sur base d'une des trois catégories suivantes: Cuisine,Salle de bains, Intérieur &amp; sur-mesure "")"),"Intérieur &amp; sur-mesure")</f>
        <v>Intérieur &amp; sur-mesure</v>
      </c>
      <c r="L108" s="1" t="s">
        <v>18</v>
      </c>
      <c r="M108" s="1" t="s">
        <v>18</v>
      </c>
      <c r="O108" s="1" t="s">
        <v>35</v>
      </c>
      <c r="P108" s="1" t="s">
        <v>20</v>
      </c>
    </row>
    <row r="109" spans="1:16" ht="13" x14ac:dyDescent="0.15">
      <c r="A109" s="1" t="s">
        <v>185</v>
      </c>
      <c r="B109" s="1">
        <v>3600</v>
      </c>
      <c r="C109" s="1" t="s">
        <v>17</v>
      </c>
      <c r="D109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09" s="1" t="s">
        <v>18</v>
      </c>
      <c r="M109" s="1" t="s">
        <v>18</v>
      </c>
      <c r="O109" s="1" t="s">
        <v>167</v>
      </c>
      <c r="P109" s="1" t="s">
        <v>20</v>
      </c>
    </row>
    <row r="110" spans="1:16" ht="13" x14ac:dyDescent="0.15">
      <c r="A110" s="1" t="s">
        <v>186</v>
      </c>
      <c r="B110" s="1">
        <v>3600</v>
      </c>
      <c r="C110" s="1" t="s">
        <v>17</v>
      </c>
      <c r="D110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10" s="1" t="s">
        <v>18</v>
      </c>
      <c r="M110" s="1" t="s">
        <v>18</v>
      </c>
      <c r="O110" s="1" t="s">
        <v>173</v>
      </c>
      <c r="P110" s="1" t="s">
        <v>20</v>
      </c>
    </row>
    <row r="111" spans="1:16" ht="13" x14ac:dyDescent="0.15">
      <c r="A111" s="1" t="s">
        <v>187</v>
      </c>
      <c r="B111" s="1">
        <v>3600</v>
      </c>
      <c r="C111" s="1" t="s">
        <v>17</v>
      </c>
      <c r="D111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11" s="1" t="s">
        <v>18</v>
      </c>
      <c r="M111" s="1" t="s">
        <v>18</v>
      </c>
      <c r="O111" s="1" t="s">
        <v>33</v>
      </c>
      <c r="P111" s="1" t="s">
        <v>20</v>
      </c>
    </row>
    <row r="112" spans="1:16" ht="13" x14ac:dyDescent="0.15">
      <c r="A112" s="1" t="s">
        <v>188</v>
      </c>
      <c r="B112" s="1">
        <v>2900</v>
      </c>
      <c r="C112" s="1" t="s">
        <v>17</v>
      </c>
      <c r="D112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12" s="1" t="s">
        <v>18</v>
      </c>
      <c r="M112" s="1" t="s">
        <v>18</v>
      </c>
      <c r="O112" s="1" t="s">
        <v>189</v>
      </c>
      <c r="P112" s="1" t="s">
        <v>20</v>
      </c>
    </row>
    <row r="113" spans="1:16" ht="13" x14ac:dyDescent="0.15">
      <c r="A113" s="1" t="s">
        <v>190</v>
      </c>
      <c r="B113" s="1">
        <v>2900</v>
      </c>
      <c r="C113" s="1" t="s">
        <v>17</v>
      </c>
      <c r="D113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13" s="1" t="s">
        <v>18</v>
      </c>
      <c r="M113" s="1" t="s">
        <v>18</v>
      </c>
      <c r="O113" s="1" t="s">
        <v>191</v>
      </c>
      <c r="P113" s="1" t="s">
        <v>20</v>
      </c>
    </row>
    <row r="114" spans="1:16" ht="13" x14ac:dyDescent="0.15">
      <c r="A114" s="1" t="s">
        <v>192</v>
      </c>
      <c r="B114" s="1">
        <v>2900</v>
      </c>
      <c r="C114" s="1" t="s">
        <v>17</v>
      </c>
      <c r="D114" s="1" t="str">
        <f ca="1">IFERROR(__xludf.DUMMYFUNCTION("AI(""Peux-tu classifier le mot-clé dans la colonne A sur base d'une des trois catégories suivantes: Cuisine,Salle de bains, Intérieur &amp; sur-mesure "")"),"Salle de Bains")</f>
        <v>Salle de Bains</v>
      </c>
      <c r="L114" s="1" t="s">
        <v>18</v>
      </c>
      <c r="M114" s="1" t="s">
        <v>18</v>
      </c>
      <c r="O114" s="1" t="s">
        <v>193</v>
      </c>
      <c r="P114" s="1" t="s">
        <v>20</v>
      </c>
    </row>
    <row r="115" spans="1:16" ht="13" x14ac:dyDescent="0.15">
      <c r="A115" s="1" t="s">
        <v>194</v>
      </c>
      <c r="B115" s="1">
        <v>2900</v>
      </c>
      <c r="C115" s="1" t="s">
        <v>17</v>
      </c>
      <c r="D115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15" s="1" t="s">
        <v>18</v>
      </c>
      <c r="M115" s="1" t="s">
        <v>18</v>
      </c>
      <c r="O115" s="1" t="s">
        <v>195</v>
      </c>
      <c r="P115" s="1" t="s">
        <v>20</v>
      </c>
    </row>
    <row r="116" spans="1:16" ht="13" x14ac:dyDescent="0.15">
      <c r="A116" s="1" t="s">
        <v>196</v>
      </c>
      <c r="B116" s="1">
        <v>2900</v>
      </c>
      <c r="C116" s="1" t="s">
        <v>17</v>
      </c>
      <c r="D116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16" s="1" t="s">
        <v>18</v>
      </c>
      <c r="M116" s="1" t="s">
        <v>18</v>
      </c>
      <c r="O116" s="1" t="s">
        <v>197</v>
      </c>
      <c r="P116" s="1" t="s">
        <v>20</v>
      </c>
    </row>
    <row r="117" spans="1:16" ht="13" x14ac:dyDescent="0.15">
      <c r="A117" s="1" t="s">
        <v>198</v>
      </c>
      <c r="B117" s="1">
        <v>2900</v>
      </c>
      <c r="C117" s="1" t="s">
        <v>17</v>
      </c>
      <c r="D117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17" s="1" t="s">
        <v>18</v>
      </c>
      <c r="M117" s="1" t="s">
        <v>18</v>
      </c>
      <c r="O117" s="1" t="s">
        <v>191</v>
      </c>
      <c r="P117" s="1" t="s">
        <v>20</v>
      </c>
    </row>
    <row r="118" spans="1:16" ht="13" x14ac:dyDescent="0.15">
      <c r="A118" s="1" t="s">
        <v>199</v>
      </c>
      <c r="B118" s="1">
        <v>2900</v>
      </c>
      <c r="C118" s="1" t="s">
        <v>17</v>
      </c>
      <c r="D118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18" s="1" t="s">
        <v>18</v>
      </c>
      <c r="M118" s="1" t="s">
        <v>18</v>
      </c>
      <c r="O118" s="1" t="s">
        <v>195</v>
      </c>
      <c r="P118" s="1" t="s">
        <v>20</v>
      </c>
    </row>
    <row r="119" spans="1:16" ht="13" x14ac:dyDescent="0.15">
      <c r="A119" s="1" t="s">
        <v>200</v>
      </c>
      <c r="B119" s="1">
        <v>2900</v>
      </c>
      <c r="C119" s="1" t="s">
        <v>17</v>
      </c>
      <c r="D119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19" s="1" t="s">
        <v>18</v>
      </c>
      <c r="M119" s="1" t="s">
        <v>18</v>
      </c>
      <c r="O119" s="1" t="s">
        <v>59</v>
      </c>
      <c r="P119" s="1" t="s">
        <v>20</v>
      </c>
    </row>
    <row r="120" spans="1:16" ht="13" x14ac:dyDescent="0.15">
      <c r="A120" s="1" t="s">
        <v>201</v>
      </c>
      <c r="B120" s="1">
        <v>2900</v>
      </c>
      <c r="C120" s="1" t="s">
        <v>17</v>
      </c>
      <c r="D120" s="1" t="str">
        <f ca="1">IFERROR(__xludf.DUMMYFUNCTION("AI(""Peux-tu classifier le mot-clé dans la colonne A sur base d'une des trois catégories suivantes: Cuisine,Salle de bains, Intérieur &amp; sur-mesure "")"),"Intérieur &amp; sur-mesure")</f>
        <v>Intérieur &amp; sur-mesure</v>
      </c>
      <c r="L120" s="1" t="s">
        <v>18</v>
      </c>
      <c r="M120" s="1" t="s">
        <v>18</v>
      </c>
      <c r="O120" s="1" t="s">
        <v>202</v>
      </c>
      <c r="P120" s="1" t="s">
        <v>20</v>
      </c>
    </row>
    <row r="121" spans="1:16" ht="13" x14ac:dyDescent="0.15">
      <c r="A121" s="1" t="s">
        <v>203</v>
      </c>
      <c r="B121" s="1">
        <v>2900</v>
      </c>
      <c r="C121" s="1" t="s">
        <v>17</v>
      </c>
      <c r="D121" s="1" t="str">
        <f ca="1">IFERROR(__xludf.DUMMYFUNCTION("AI(""Peux-tu classifier le mot-clé dans la colonne A sur base d'une des trois catégories suivantes: Cuisine,Salle de bains, Intérieur &amp; sur-mesure "")"),"Intérieur &amp; sur-mesure")</f>
        <v>Intérieur &amp; sur-mesure</v>
      </c>
      <c r="L121" s="1" t="s">
        <v>18</v>
      </c>
      <c r="M121" s="1" t="s">
        <v>18</v>
      </c>
      <c r="O121" s="1" t="s">
        <v>202</v>
      </c>
      <c r="P121" s="1" t="s">
        <v>20</v>
      </c>
    </row>
    <row r="122" spans="1:16" ht="13" x14ac:dyDescent="0.15">
      <c r="A122" s="1" t="s">
        <v>204</v>
      </c>
      <c r="B122" s="1">
        <v>2900</v>
      </c>
      <c r="C122" s="1" t="s">
        <v>17</v>
      </c>
      <c r="D122" s="1" t="str">
        <f ca="1">IFERROR(__xludf.DUMMYFUNCTION("AI(""Peux-tu classifier le mot-clé dans la colonne A sur base d'une des trois catégories suivantes: Cuisine,Salle de bains, Intérieur &amp; sur-mesure "")"),"Intérieur &amp; sur-mesure")</f>
        <v>Intérieur &amp; sur-mesure</v>
      </c>
      <c r="L122" s="1" t="s">
        <v>18</v>
      </c>
      <c r="M122" s="1" t="s">
        <v>18</v>
      </c>
      <c r="O122" s="1">
        <v>0</v>
      </c>
      <c r="P122" s="1" t="s">
        <v>205</v>
      </c>
    </row>
    <row r="123" spans="1:16" ht="13" x14ac:dyDescent="0.15">
      <c r="A123" s="1" t="s">
        <v>206</v>
      </c>
      <c r="B123" s="1">
        <v>2900</v>
      </c>
      <c r="C123" s="1" t="s">
        <v>17</v>
      </c>
      <c r="D123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23" s="1" t="s">
        <v>18</v>
      </c>
      <c r="M123" s="1" t="s">
        <v>18</v>
      </c>
      <c r="O123" s="1" t="s">
        <v>207</v>
      </c>
      <c r="P123" s="1" t="s">
        <v>20</v>
      </c>
    </row>
    <row r="124" spans="1:16" ht="13" x14ac:dyDescent="0.15">
      <c r="A124" s="1" t="s">
        <v>208</v>
      </c>
      <c r="B124" s="1">
        <v>2400</v>
      </c>
      <c r="C124" s="1" t="s">
        <v>17</v>
      </c>
      <c r="D124" s="1" t="str">
        <f ca="1">IFERROR(__xludf.DUMMYFUNCTION("AI(""Peux-tu classifier le mot-clé dans la colonne A sur base d'une des trois catégories suivantes: Cuisine,Salle de bains, Intérieur &amp; sur-mesure "")"),"Intérieur &amp; sur-mesure")</f>
        <v>Intérieur &amp; sur-mesure</v>
      </c>
      <c r="L124" s="1" t="s">
        <v>18</v>
      </c>
      <c r="M124" s="1" t="s">
        <v>18</v>
      </c>
      <c r="O124" s="1" t="s">
        <v>28</v>
      </c>
      <c r="P124" s="1" t="s">
        <v>20</v>
      </c>
    </row>
    <row r="125" spans="1:16" ht="13" x14ac:dyDescent="0.15">
      <c r="A125" s="1" t="s">
        <v>209</v>
      </c>
      <c r="B125" s="1">
        <v>2400</v>
      </c>
      <c r="C125" s="1" t="s">
        <v>17</v>
      </c>
      <c r="D125" s="1" t="str">
        <f ca="1">IFERROR(__xludf.DUMMYFUNCTION("AI(""Peux-tu classifier le mot-clé dans la colonne A sur base d'une des trois catégories suivantes: Cuisine,Salle de bains, Intérieur &amp; sur-mesure "")"),"Salle de bains")</f>
        <v>Salle de bains</v>
      </c>
      <c r="L125" s="1" t="s">
        <v>18</v>
      </c>
      <c r="M125" s="1" t="s">
        <v>18</v>
      </c>
      <c r="O125" s="1" t="s">
        <v>101</v>
      </c>
      <c r="P125" s="1" t="s">
        <v>20</v>
      </c>
    </row>
    <row r="126" spans="1:16" ht="13" x14ac:dyDescent="0.15">
      <c r="A126" s="1" t="s">
        <v>210</v>
      </c>
      <c r="B126" s="1">
        <v>2400</v>
      </c>
      <c r="C126" s="1" t="s">
        <v>17</v>
      </c>
      <c r="D126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26" s="1" t="s">
        <v>18</v>
      </c>
      <c r="M126" s="1" t="s">
        <v>18</v>
      </c>
      <c r="O126" s="1" t="s">
        <v>211</v>
      </c>
      <c r="P126" s="1" t="s">
        <v>20</v>
      </c>
    </row>
    <row r="127" spans="1:16" ht="13" x14ac:dyDescent="0.15">
      <c r="A127" s="1" t="s">
        <v>212</v>
      </c>
      <c r="B127" s="1">
        <v>2400</v>
      </c>
      <c r="C127" s="1" t="s">
        <v>17</v>
      </c>
      <c r="D127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27" s="1" t="s">
        <v>18</v>
      </c>
      <c r="M127" s="1" t="s">
        <v>18</v>
      </c>
      <c r="O127" s="1" t="s">
        <v>211</v>
      </c>
      <c r="P127" s="1" t="s">
        <v>20</v>
      </c>
    </row>
    <row r="128" spans="1:16" ht="13" x14ac:dyDescent="0.15">
      <c r="A128" s="1" t="s">
        <v>213</v>
      </c>
      <c r="B128" s="1">
        <v>2400</v>
      </c>
      <c r="C128" s="1" t="s">
        <v>17</v>
      </c>
      <c r="D128" s="1" t="str">
        <f ca="1">IFERROR(__xludf.DUMMYFUNCTION("AI(""Peux-tu classifier le mot-clé dans la colonne A sur base d'une des trois catégories suivantes: Cuisine,Salle de bains, Intérieur &amp; sur-mesure "")"),"Salle de bains")</f>
        <v>Salle de bains</v>
      </c>
      <c r="L128" s="1" t="s">
        <v>18</v>
      </c>
      <c r="M128" s="1" t="s">
        <v>18</v>
      </c>
      <c r="O128" s="1" t="s">
        <v>101</v>
      </c>
      <c r="P128" s="1" t="s">
        <v>20</v>
      </c>
    </row>
    <row r="129" spans="1:16" ht="13" x14ac:dyDescent="0.15">
      <c r="A129" s="1" t="s">
        <v>214</v>
      </c>
      <c r="B129" s="1">
        <v>2400</v>
      </c>
      <c r="C129" s="1" t="s">
        <v>17</v>
      </c>
      <c r="D129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29" s="1" t="s">
        <v>18</v>
      </c>
      <c r="M129" s="1" t="s">
        <v>18</v>
      </c>
      <c r="O129" s="1" t="s">
        <v>56</v>
      </c>
      <c r="P129" s="1" t="s">
        <v>20</v>
      </c>
    </row>
    <row r="130" spans="1:16" ht="13" x14ac:dyDescent="0.15">
      <c r="A130" s="1" t="s">
        <v>215</v>
      </c>
      <c r="B130" s="1">
        <v>2400</v>
      </c>
      <c r="C130" s="1" t="s">
        <v>17</v>
      </c>
      <c r="D130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30" s="1" t="s">
        <v>18</v>
      </c>
      <c r="M130" s="1" t="s">
        <v>18</v>
      </c>
      <c r="O130" s="1" t="s">
        <v>216</v>
      </c>
      <c r="P130" s="1" t="s">
        <v>20</v>
      </c>
    </row>
    <row r="131" spans="1:16" ht="13" x14ac:dyDescent="0.15">
      <c r="A131" s="1" t="s">
        <v>217</v>
      </c>
      <c r="B131" s="1">
        <v>2400</v>
      </c>
      <c r="C131" s="1" t="s">
        <v>17</v>
      </c>
      <c r="D131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31" s="1" t="s">
        <v>18</v>
      </c>
      <c r="M131" s="1" t="s">
        <v>18</v>
      </c>
      <c r="O131" s="1" t="s">
        <v>218</v>
      </c>
      <c r="P131" s="1" t="s">
        <v>20</v>
      </c>
    </row>
    <row r="132" spans="1:16" ht="13" x14ac:dyDescent="0.15">
      <c r="A132" s="1" t="s">
        <v>219</v>
      </c>
      <c r="B132" s="1">
        <v>2400</v>
      </c>
      <c r="C132" s="1" t="s">
        <v>17</v>
      </c>
      <c r="D132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32" s="1" t="s">
        <v>18</v>
      </c>
      <c r="M132" s="1" t="s">
        <v>18</v>
      </c>
      <c r="O132" s="1" t="s">
        <v>218</v>
      </c>
      <c r="P132" s="1" t="s">
        <v>20</v>
      </c>
    </row>
    <row r="133" spans="1:16" ht="13" x14ac:dyDescent="0.15">
      <c r="A133" s="1" t="s">
        <v>220</v>
      </c>
      <c r="B133" s="1">
        <v>2400</v>
      </c>
      <c r="C133" s="1" t="s">
        <v>17</v>
      </c>
      <c r="D133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33" s="1" t="s">
        <v>18</v>
      </c>
      <c r="M133" s="1" t="s">
        <v>18</v>
      </c>
      <c r="O133" s="1" t="s">
        <v>221</v>
      </c>
      <c r="P133" s="1" t="s">
        <v>20</v>
      </c>
    </row>
    <row r="134" spans="1:16" ht="13" x14ac:dyDescent="0.15">
      <c r="A134" s="1" t="s">
        <v>222</v>
      </c>
      <c r="B134" s="1">
        <v>2400</v>
      </c>
      <c r="C134" s="1" t="s">
        <v>17</v>
      </c>
      <c r="D134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34" s="1" t="s">
        <v>18</v>
      </c>
      <c r="M134" s="1" t="s">
        <v>18</v>
      </c>
      <c r="O134" s="1" t="s">
        <v>223</v>
      </c>
      <c r="P134" s="1" t="s">
        <v>20</v>
      </c>
    </row>
    <row r="135" spans="1:16" ht="13" x14ac:dyDescent="0.15">
      <c r="A135" s="1" t="s">
        <v>224</v>
      </c>
      <c r="B135" s="1">
        <v>2400</v>
      </c>
      <c r="C135" s="1" t="s">
        <v>17</v>
      </c>
      <c r="D135" s="1" t="str">
        <f ca="1">IFERROR(__xludf.DUMMYFUNCTION("AI(""Peux-tu classifier le mot-clé dans la colonne A sur base d'une des trois catégories suivantes: Cuisine,Salle de bains, Intérieur &amp; sur-mesure "")"),"Salle de bains")</f>
        <v>Salle de bains</v>
      </c>
      <c r="L135" s="1" t="s">
        <v>18</v>
      </c>
      <c r="M135" s="1" t="s">
        <v>18</v>
      </c>
      <c r="O135" s="1" t="s">
        <v>101</v>
      </c>
      <c r="P135" s="1" t="s">
        <v>20</v>
      </c>
    </row>
    <row r="136" spans="1:16" ht="13" x14ac:dyDescent="0.15">
      <c r="A136" s="1" t="s">
        <v>225</v>
      </c>
      <c r="B136" s="1">
        <v>2400</v>
      </c>
      <c r="C136" s="1" t="s">
        <v>17</v>
      </c>
      <c r="D136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36" s="1" t="s">
        <v>18</v>
      </c>
      <c r="M136" s="1" t="s">
        <v>18</v>
      </c>
      <c r="O136" s="1" t="s">
        <v>19</v>
      </c>
      <c r="P136" s="1" t="s">
        <v>20</v>
      </c>
    </row>
    <row r="137" spans="1:16" ht="13" x14ac:dyDescent="0.15">
      <c r="A137" s="1" t="s">
        <v>226</v>
      </c>
      <c r="B137" s="1">
        <v>2400</v>
      </c>
      <c r="C137" s="1" t="s">
        <v>17</v>
      </c>
      <c r="D137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37" s="1" t="s">
        <v>18</v>
      </c>
      <c r="M137" s="1" t="s">
        <v>18</v>
      </c>
      <c r="O137" s="1" t="s">
        <v>227</v>
      </c>
      <c r="P137" s="1" t="s">
        <v>20</v>
      </c>
    </row>
    <row r="138" spans="1:16" ht="13" x14ac:dyDescent="0.15">
      <c r="A138" s="1" t="s">
        <v>228</v>
      </c>
      <c r="B138" s="1">
        <v>2400</v>
      </c>
      <c r="C138" s="1" t="s">
        <v>17</v>
      </c>
      <c r="D138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38" s="1" t="s">
        <v>18</v>
      </c>
      <c r="M138" s="1" t="s">
        <v>18</v>
      </c>
      <c r="O138" s="1" t="s">
        <v>52</v>
      </c>
      <c r="P138" s="1" t="s">
        <v>20</v>
      </c>
    </row>
    <row r="139" spans="1:16" ht="13" x14ac:dyDescent="0.15">
      <c r="A139" s="1" t="s">
        <v>229</v>
      </c>
      <c r="B139" s="1">
        <v>2400</v>
      </c>
      <c r="C139" s="1" t="s">
        <v>17</v>
      </c>
      <c r="D139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39" s="1" t="s">
        <v>18</v>
      </c>
      <c r="M139" s="1" t="s">
        <v>18</v>
      </c>
      <c r="O139" s="1" t="s">
        <v>26</v>
      </c>
      <c r="P139" s="1" t="s">
        <v>20</v>
      </c>
    </row>
    <row r="140" spans="1:16" ht="13" x14ac:dyDescent="0.15">
      <c r="A140" s="1" t="s">
        <v>230</v>
      </c>
      <c r="B140" s="1">
        <v>2400</v>
      </c>
      <c r="C140" s="1" t="s">
        <v>17</v>
      </c>
      <c r="D140" s="1" t="str">
        <f ca="1">IFERROR(__xludf.DUMMYFUNCTION("AI(""Peux-tu classifier le mot-clé dans la colonne A sur base d'une des trois catégories suivantes: Cuisine,Salle de bains, Intérieur &amp; sur-mesure "")"),"Intérieur &amp; sur-mesure")</f>
        <v>Intérieur &amp; sur-mesure</v>
      </c>
      <c r="L140" s="1" t="s">
        <v>18</v>
      </c>
      <c r="M140" s="1" t="s">
        <v>18</v>
      </c>
      <c r="O140" s="1" t="s">
        <v>231</v>
      </c>
      <c r="P140" s="1" t="s">
        <v>20</v>
      </c>
    </row>
    <row r="141" spans="1:16" ht="13" x14ac:dyDescent="0.15">
      <c r="A141" s="1" t="s">
        <v>232</v>
      </c>
      <c r="B141" s="1">
        <v>1900</v>
      </c>
      <c r="C141" s="1" t="s">
        <v>17</v>
      </c>
      <c r="D141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41" s="1" t="s">
        <v>18</v>
      </c>
      <c r="M141" s="1" t="s">
        <v>18</v>
      </c>
      <c r="O141" s="1" t="s">
        <v>233</v>
      </c>
      <c r="P141" s="1" t="s">
        <v>72</v>
      </c>
    </row>
    <row r="142" spans="1:16" ht="13" x14ac:dyDescent="0.15">
      <c r="A142" s="1" t="s">
        <v>234</v>
      </c>
      <c r="B142" s="1">
        <v>1900</v>
      </c>
      <c r="C142" s="1" t="s">
        <v>17</v>
      </c>
      <c r="D142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42" s="1" t="s">
        <v>18</v>
      </c>
      <c r="M142" s="1" t="s">
        <v>18</v>
      </c>
      <c r="O142" s="1" t="s">
        <v>227</v>
      </c>
      <c r="P142" s="1" t="s">
        <v>20</v>
      </c>
    </row>
    <row r="143" spans="1:16" ht="13" x14ac:dyDescent="0.15">
      <c r="A143" s="1" t="s">
        <v>235</v>
      </c>
      <c r="B143" s="1">
        <v>1900</v>
      </c>
      <c r="C143" s="1" t="s">
        <v>17</v>
      </c>
      <c r="D143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43" s="1" t="s">
        <v>18</v>
      </c>
      <c r="M143" s="1" t="s">
        <v>18</v>
      </c>
      <c r="O143" s="1" t="s">
        <v>236</v>
      </c>
      <c r="P143" s="1" t="s">
        <v>20</v>
      </c>
    </row>
    <row r="144" spans="1:16" ht="13" x14ac:dyDescent="0.15">
      <c r="A144" s="1" t="s">
        <v>237</v>
      </c>
      <c r="B144" s="1">
        <v>1900</v>
      </c>
      <c r="C144" s="1" t="s">
        <v>17</v>
      </c>
      <c r="D144" s="1" t="str">
        <f ca="1">IFERROR(__xludf.DUMMYFUNCTION("AI(""Peux-tu classifier le mot-clé dans la colonne A sur base d'une des trois catégories suivantes: Cuisine,Salle de bains, Intérieur &amp; sur-mesure "")"),"Salle de bains")</f>
        <v>Salle de bains</v>
      </c>
      <c r="L144" s="1" t="s">
        <v>18</v>
      </c>
      <c r="M144" s="1" t="s">
        <v>18</v>
      </c>
      <c r="O144" s="1" t="s">
        <v>238</v>
      </c>
      <c r="P144" s="1" t="s">
        <v>20</v>
      </c>
    </row>
    <row r="145" spans="1:16" ht="13" x14ac:dyDescent="0.15">
      <c r="A145" s="1" t="s">
        <v>239</v>
      </c>
      <c r="B145" s="1">
        <v>1900</v>
      </c>
      <c r="C145" s="1" t="s">
        <v>17</v>
      </c>
      <c r="D145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45" s="1" t="s">
        <v>18</v>
      </c>
      <c r="M145" s="1" t="s">
        <v>18</v>
      </c>
      <c r="O145" s="1" t="s">
        <v>236</v>
      </c>
      <c r="P145" s="1" t="s">
        <v>20</v>
      </c>
    </row>
    <row r="146" spans="1:16" ht="13" x14ac:dyDescent="0.15">
      <c r="A146" s="1" t="s">
        <v>240</v>
      </c>
      <c r="B146" s="1">
        <v>1900</v>
      </c>
      <c r="C146" s="1" t="s">
        <v>17</v>
      </c>
      <c r="D146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46" s="1" t="s">
        <v>18</v>
      </c>
      <c r="M146" s="1" t="s">
        <v>18</v>
      </c>
      <c r="O146" s="1" t="s">
        <v>241</v>
      </c>
      <c r="P146" s="1" t="s">
        <v>20</v>
      </c>
    </row>
    <row r="147" spans="1:16" ht="13" x14ac:dyDescent="0.15">
      <c r="A147" s="1" t="s">
        <v>242</v>
      </c>
      <c r="B147" s="1">
        <v>1900</v>
      </c>
      <c r="C147" s="1" t="s">
        <v>17</v>
      </c>
      <c r="D147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47" s="1" t="s">
        <v>18</v>
      </c>
      <c r="M147" s="1" t="s">
        <v>18</v>
      </c>
      <c r="O147" s="1" t="s">
        <v>243</v>
      </c>
      <c r="P147" s="1" t="s">
        <v>72</v>
      </c>
    </row>
    <row r="148" spans="1:16" ht="13" x14ac:dyDescent="0.15">
      <c r="A148" s="1" t="s">
        <v>244</v>
      </c>
      <c r="B148" s="1">
        <v>1900</v>
      </c>
      <c r="C148" s="1" t="s">
        <v>17</v>
      </c>
      <c r="D148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48" s="1" t="s">
        <v>18</v>
      </c>
      <c r="M148" s="1" t="s">
        <v>18</v>
      </c>
      <c r="O148" s="1" t="s">
        <v>245</v>
      </c>
      <c r="P148" s="1" t="s">
        <v>20</v>
      </c>
    </row>
    <row r="149" spans="1:16" ht="13" x14ac:dyDescent="0.15">
      <c r="A149" s="1" t="s">
        <v>246</v>
      </c>
      <c r="B149" s="1">
        <v>1900</v>
      </c>
      <c r="C149" s="1" t="s">
        <v>17</v>
      </c>
      <c r="D149" s="1" t="str">
        <f ca="1">IFERROR(__xludf.DUMMYFUNCTION("AI(""Peux-tu classifier le mot-clé dans la colonne A sur base d'une des trois catégories suivantes: Cuisine,Salle de bains, Intérieur &amp; sur-mesure "")"),"Intérieur &amp; sur-mesure")</f>
        <v>Intérieur &amp; sur-mesure</v>
      </c>
      <c r="L149" s="1" t="s">
        <v>18</v>
      </c>
      <c r="M149" s="1" t="s">
        <v>18</v>
      </c>
      <c r="O149" s="1" t="s">
        <v>22</v>
      </c>
      <c r="P149" s="1" t="s">
        <v>20</v>
      </c>
    </row>
    <row r="150" spans="1:16" ht="13" x14ac:dyDescent="0.15">
      <c r="A150" s="1" t="s">
        <v>247</v>
      </c>
      <c r="B150" s="1">
        <v>1900</v>
      </c>
      <c r="C150" s="1" t="s">
        <v>17</v>
      </c>
      <c r="D150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50" s="1" t="s">
        <v>18</v>
      </c>
      <c r="M150" s="1" t="s">
        <v>18</v>
      </c>
      <c r="O150" s="1" t="s">
        <v>248</v>
      </c>
      <c r="P150" s="1" t="s">
        <v>20</v>
      </c>
    </row>
    <row r="151" spans="1:16" ht="13" x14ac:dyDescent="0.15">
      <c r="A151" s="1" t="s">
        <v>249</v>
      </c>
      <c r="B151" s="1">
        <v>1900</v>
      </c>
      <c r="C151" s="1" t="s">
        <v>17</v>
      </c>
      <c r="D151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51" s="1" t="s">
        <v>18</v>
      </c>
      <c r="M151" s="1" t="s">
        <v>18</v>
      </c>
      <c r="O151" s="1" t="s">
        <v>136</v>
      </c>
      <c r="P151" s="1" t="s">
        <v>20</v>
      </c>
    </row>
    <row r="152" spans="1:16" ht="13" x14ac:dyDescent="0.15">
      <c r="A152" s="1" t="s">
        <v>250</v>
      </c>
      <c r="B152" s="1">
        <v>1900</v>
      </c>
      <c r="C152" s="1" t="s">
        <v>17</v>
      </c>
      <c r="D152" s="1" t="str">
        <f ca="1">IFERROR(__xludf.DUMMYFUNCTION("AI(""Peux-tu classifier le mot-clé dans la colonne A sur base d'une des trois catégories suivantes: Cuisine,Salle de bains, Intérieur &amp; sur-mesure "")"),"Salle de bains")</f>
        <v>Salle de bains</v>
      </c>
      <c r="L152" s="1" t="s">
        <v>18</v>
      </c>
      <c r="M152" s="1" t="s">
        <v>18</v>
      </c>
      <c r="O152" s="1" t="s">
        <v>116</v>
      </c>
      <c r="P152" s="1" t="s">
        <v>20</v>
      </c>
    </row>
    <row r="153" spans="1:16" ht="13" x14ac:dyDescent="0.15">
      <c r="A153" s="1" t="s">
        <v>251</v>
      </c>
      <c r="B153" s="1">
        <v>1900</v>
      </c>
      <c r="C153" s="1" t="s">
        <v>17</v>
      </c>
      <c r="D153" s="1" t="str">
        <f ca="1">IFERROR(__xludf.DUMMYFUNCTION("AI(""Peux-tu classifier le mot-clé dans la colonne A sur base d'une des trois catégories suivantes: Cuisine,Salle de bains, Intérieur &amp; sur-mesure "")"),"Salle de bains")</f>
        <v>Salle de bains</v>
      </c>
      <c r="L153" s="1" t="s">
        <v>18</v>
      </c>
      <c r="M153" s="1" t="s">
        <v>18</v>
      </c>
      <c r="O153" s="1" t="s">
        <v>252</v>
      </c>
      <c r="P153" s="1" t="s">
        <v>20</v>
      </c>
    </row>
    <row r="154" spans="1:16" ht="13" x14ac:dyDescent="0.15">
      <c r="A154" s="1" t="s">
        <v>253</v>
      </c>
      <c r="B154" s="1">
        <v>1900</v>
      </c>
      <c r="C154" s="1" t="s">
        <v>17</v>
      </c>
      <c r="D154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54" s="1" t="s">
        <v>18</v>
      </c>
      <c r="M154" s="1" t="s">
        <v>18</v>
      </c>
      <c r="O154" s="1" t="s">
        <v>254</v>
      </c>
      <c r="P154" s="1" t="s">
        <v>20</v>
      </c>
    </row>
    <row r="155" spans="1:16" ht="13" x14ac:dyDescent="0.15">
      <c r="A155" s="1" t="s">
        <v>255</v>
      </c>
      <c r="B155" s="1">
        <v>1900</v>
      </c>
      <c r="C155" s="1" t="s">
        <v>17</v>
      </c>
      <c r="D155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55" s="1" t="s">
        <v>18</v>
      </c>
      <c r="M155" s="1" t="s">
        <v>18</v>
      </c>
      <c r="O155" s="1" t="s">
        <v>256</v>
      </c>
      <c r="P155" s="1" t="s">
        <v>20</v>
      </c>
    </row>
    <row r="156" spans="1:16" ht="13" x14ac:dyDescent="0.15">
      <c r="A156" s="1" t="s">
        <v>257</v>
      </c>
      <c r="B156" s="1">
        <v>1900</v>
      </c>
      <c r="C156" s="1" t="s">
        <v>17</v>
      </c>
      <c r="D156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56" s="1" t="s">
        <v>18</v>
      </c>
      <c r="M156" s="1" t="s">
        <v>18</v>
      </c>
      <c r="O156" s="1" t="s">
        <v>243</v>
      </c>
      <c r="P156" s="1" t="s">
        <v>72</v>
      </c>
    </row>
    <row r="157" spans="1:16" ht="13" x14ac:dyDescent="0.15">
      <c r="A157" s="1" t="s">
        <v>258</v>
      </c>
      <c r="B157" s="1">
        <v>1900</v>
      </c>
      <c r="C157" s="1" t="s">
        <v>17</v>
      </c>
      <c r="D157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57" s="1" t="s">
        <v>18</v>
      </c>
      <c r="M157" s="1" t="s">
        <v>18</v>
      </c>
      <c r="O157" s="1" t="s">
        <v>245</v>
      </c>
      <c r="P157" s="1" t="s">
        <v>20</v>
      </c>
    </row>
    <row r="158" spans="1:16" ht="13" x14ac:dyDescent="0.15">
      <c r="A158" s="1" t="s">
        <v>259</v>
      </c>
      <c r="B158" s="1">
        <v>1900</v>
      </c>
      <c r="C158" s="1" t="s">
        <v>17</v>
      </c>
      <c r="D158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58" s="1" t="s">
        <v>18</v>
      </c>
      <c r="M158" s="1" t="s">
        <v>18</v>
      </c>
      <c r="O158" s="1" t="s">
        <v>245</v>
      </c>
      <c r="P158" s="1" t="s">
        <v>20</v>
      </c>
    </row>
    <row r="159" spans="1:16" ht="13" x14ac:dyDescent="0.15">
      <c r="A159" s="1" t="s">
        <v>260</v>
      </c>
      <c r="B159" s="1">
        <v>1900</v>
      </c>
      <c r="C159" s="1" t="s">
        <v>17</v>
      </c>
      <c r="D159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I159" s="1">
        <v>27</v>
      </c>
      <c r="L159" s="1" t="s">
        <v>18</v>
      </c>
      <c r="M159" s="1" t="s">
        <v>18</v>
      </c>
      <c r="O159" s="1" t="s">
        <v>254</v>
      </c>
      <c r="P159" s="1" t="s">
        <v>20</v>
      </c>
    </row>
    <row r="160" spans="1:16" ht="13" x14ac:dyDescent="0.15">
      <c r="A160" s="1" t="s">
        <v>261</v>
      </c>
      <c r="B160" s="1">
        <v>1900</v>
      </c>
      <c r="C160" s="1" t="s">
        <v>17</v>
      </c>
      <c r="D160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60" s="1" t="s">
        <v>18</v>
      </c>
      <c r="M160" s="1" t="s">
        <v>18</v>
      </c>
      <c r="O160" s="1" t="s">
        <v>130</v>
      </c>
      <c r="P160" s="1" t="s">
        <v>20</v>
      </c>
    </row>
    <row r="161" spans="1:16" ht="13" x14ac:dyDescent="0.15">
      <c r="A161" s="1" t="s">
        <v>262</v>
      </c>
      <c r="B161" s="1">
        <v>1900</v>
      </c>
      <c r="C161" s="1" t="s">
        <v>17</v>
      </c>
      <c r="D161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61" s="1" t="s">
        <v>18</v>
      </c>
      <c r="M161" s="1" t="s">
        <v>18</v>
      </c>
      <c r="O161" s="1" t="s">
        <v>98</v>
      </c>
      <c r="P161" s="1" t="s">
        <v>20</v>
      </c>
    </row>
    <row r="162" spans="1:16" ht="13" x14ac:dyDescent="0.15">
      <c r="A162" s="1" t="s">
        <v>263</v>
      </c>
      <c r="B162" s="1">
        <v>1900</v>
      </c>
      <c r="C162" s="1" t="s">
        <v>17</v>
      </c>
      <c r="D162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62" s="1" t="s">
        <v>18</v>
      </c>
      <c r="M162" s="1" t="s">
        <v>18</v>
      </c>
      <c r="O162" s="1" t="s">
        <v>28</v>
      </c>
      <c r="P162" s="1" t="s">
        <v>20</v>
      </c>
    </row>
    <row r="163" spans="1:16" ht="13" x14ac:dyDescent="0.15">
      <c r="A163" s="1" t="s">
        <v>264</v>
      </c>
      <c r="B163" s="1">
        <v>1600</v>
      </c>
      <c r="C163" s="1" t="s">
        <v>17</v>
      </c>
      <c r="D163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63" s="1" t="s">
        <v>18</v>
      </c>
      <c r="M163" s="1" t="s">
        <v>18</v>
      </c>
      <c r="O163" s="1" t="s">
        <v>19</v>
      </c>
      <c r="P163" s="1" t="s">
        <v>20</v>
      </c>
    </row>
    <row r="164" spans="1:16" ht="13" x14ac:dyDescent="0.15">
      <c r="A164" s="1" t="s">
        <v>265</v>
      </c>
      <c r="B164" s="1">
        <v>1600</v>
      </c>
      <c r="C164" s="1" t="s">
        <v>17</v>
      </c>
      <c r="D164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64" s="1" t="s">
        <v>18</v>
      </c>
      <c r="M164" s="1" t="s">
        <v>18</v>
      </c>
      <c r="O164" s="1" t="s">
        <v>86</v>
      </c>
      <c r="P164" s="1" t="s">
        <v>20</v>
      </c>
    </row>
    <row r="165" spans="1:16" ht="13" x14ac:dyDescent="0.15">
      <c r="A165" s="1" t="s">
        <v>266</v>
      </c>
      <c r="B165" s="1">
        <v>1600</v>
      </c>
      <c r="C165" s="1" t="s">
        <v>17</v>
      </c>
      <c r="D165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65" s="1" t="s">
        <v>18</v>
      </c>
      <c r="M165" s="1" t="s">
        <v>18</v>
      </c>
      <c r="O165" s="1" t="s">
        <v>122</v>
      </c>
      <c r="P165" s="1" t="s">
        <v>20</v>
      </c>
    </row>
    <row r="166" spans="1:16" ht="13" x14ac:dyDescent="0.15">
      <c r="A166" s="1" t="s">
        <v>267</v>
      </c>
      <c r="B166" s="1">
        <v>1600</v>
      </c>
      <c r="C166" s="1" t="s">
        <v>17</v>
      </c>
      <c r="D166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66" s="1" t="s">
        <v>18</v>
      </c>
      <c r="M166" s="1" t="s">
        <v>18</v>
      </c>
      <c r="O166" s="1" t="s">
        <v>133</v>
      </c>
      <c r="P166" s="1" t="s">
        <v>20</v>
      </c>
    </row>
    <row r="167" spans="1:16" ht="13" x14ac:dyDescent="0.15">
      <c r="A167" s="1" t="s">
        <v>268</v>
      </c>
      <c r="B167" s="1">
        <v>1600</v>
      </c>
      <c r="C167" s="1" t="s">
        <v>17</v>
      </c>
      <c r="D167" s="1" t="str">
        <f ca="1">IFERROR(__xludf.DUMMYFUNCTION("AI(""Peux-tu classifier le mot-clé dans la colonne A sur base d'une des trois catégories suivantes: Cuisine,Salle de bains, Intérieur &amp; sur-mesure "")"),"Intérieur &amp; sur-mesure")</f>
        <v>Intérieur &amp; sur-mesure</v>
      </c>
      <c r="L167" s="1" t="s">
        <v>18</v>
      </c>
      <c r="M167" s="1" t="s">
        <v>18</v>
      </c>
      <c r="O167" s="1" t="s">
        <v>116</v>
      </c>
      <c r="P167" s="1" t="s">
        <v>20</v>
      </c>
    </row>
    <row r="168" spans="1:16" ht="13" x14ac:dyDescent="0.15">
      <c r="A168" s="1" t="s">
        <v>269</v>
      </c>
      <c r="B168" s="1">
        <v>1600</v>
      </c>
      <c r="C168" s="1" t="s">
        <v>17</v>
      </c>
      <c r="D168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68" s="1" t="s">
        <v>18</v>
      </c>
      <c r="M168" s="1" t="s">
        <v>18</v>
      </c>
      <c r="O168" s="1" t="s">
        <v>108</v>
      </c>
      <c r="P168" s="1" t="s">
        <v>20</v>
      </c>
    </row>
    <row r="169" spans="1:16" ht="13" x14ac:dyDescent="0.15">
      <c r="A169" s="1" t="s">
        <v>270</v>
      </c>
      <c r="B169" s="1">
        <v>1600</v>
      </c>
      <c r="C169" s="1" t="s">
        <v>17</v>
      </c>
      <c r="D169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69" s="1" t="s">
        <v>18</v>
      </c>
      <c r="M169" s="1" t="s">
        <v>18</v>
      </c>
      <c r="O169" s="1" t="s">
        <v>108</v>
      </c>
      <c r="P169" s="1" t="s">
        <v>20</v>
      </c>
    </row>
    <row r="170" spans="1:16" ht="13" x14ac:dyDescent="0.15">
      <c r="A170" s="1" t="s">
        <v>271</v>
      </c>
      <c r="B170" s="1">
        <v>1600</v>
      </c>
      <c r="C170" s="1" t="s">
        <v>17</v>
      </c>
      <c r="D170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70" s="1" t="s">
        <v>18</v>
      </c>
      <c r="M170" s="1" t="s">
        <v>18</v>
      </c>
      <c r="O170" s="1" t="s">
        <v>108</v>
      </c>
      <c r="P170" s="1" t="s">
        <v>20</v>
      </c>
    </row>
    <row r="171" spans="1:16" ht="13" x14ac:dyDescent="0.15">
      <c r="A171" s="1" t="s">
        <v>272</v>
      </c>
      <c r="B171" s="1">
        <v>1600</v>
      </c>
      <c r="C171" s="1" t="s">
        <v>17</v>
      </c>
      <c r="D171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71" s="1" t="s">
        <v>18</v>
      </c>
      <c r="M171" s="1" t="s">
        <v>18</v>
      </c>
      <c r="O171" s="1" t="s">
        <v>248</v>
      </c>
      <c r="P171" s="1" t="s">
        <v>20</v>
      </c>
    </row>
    <row r="172" spans="1:16" ht="13" x14ac:dyDescent="0.15">
      <c r="A172" s="1" t="s">
        <v>273</v>
      </c>
      <c r="B172" s="1">
        <v>1600</v>
      </c>
      <c r="C172" s="1" t="s">
        <v>17</v>
      </c>
      <c r="D172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72" s="1" t="s">
        <v>18</v>
      </c>
      <c r="M172" s="1" t="s">
        <v>18</v>
      </c>
      <c r="O172" s="1" t="s">
        <v>108</v>
      </c>
      <c r="P172" s="1" t="s">
        <v>20</v>
      </c>
    </row>
    <row r="173" spans="1:16" ht="13" x14ac:dyDescent="0.15">
      <c r="A173" s="1" t="s">
        <v>274</v>
      </c>
      <c r="B173" s="1">
        <v>1600</v>
      </c>
      <c r="C173" s="1" t="s">
        <v>17</v>
      </c>
      <c r="D173" s="1" t="str">
        <f ca="1">IFERROR(__xludf.DUMMYFUNCTION("AI(""Peux-tu classifier le mot-clé dans la colonne A sur base d'une des trois catégories suivantes: Cuisine,Salle de bains, Intérieur &amp; sur-mesure "")"),"Intérieur &amp; sur-mesure")</f>
        <v>Intérieur &amp; sur-mesure</v>
      </c>
      <c r="L173" s="1" t="s">
        <v>18</v>
      </c>
      <c r="M173" s="1" t="s">
        <v>18</v>
      </c>
      <c r="O173" s="1" t="s">
        <v>275</v>
      </c>
      <c r="P173" s="1" t="s">
        <v>20</v>
      </c>
    </row>
    <row r="174" spans="1:16" ht="13" x14ac:dyDescent="0.15">
      <c r="A174" s="1" t="s">
        <v>276</v>
      </c>
      <c r="B174" s="1">
        <v>1300</v>
      </c>
      <c r="C174" s="1" t="s">
        <v>17</v>
      </c>
      <c r="D174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74" s="1" t="s">
        <v>18</v>
      </c>
      <c r="M174" s="1" t="s">
        <v>18</v>
      </c>
      <c r="O174" s="1" t="s">
        <v>277</v>
      </c>
      <c r="P174" s="1" t="s">
        <v>20</v>
      </c>
    </row>
    <row r="175" spans="1:16" ht="13" x14ac:dyDescent="0.15">
      <c r="A175" s="1" t="s">
        <v>278</v>
      </c>
      <c r="B175" s="1">
        <v>1300</v>
      </c>
      <c r="C175" s="1" t="s">
        <v>17</v>
      </c>
      <c r="D175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75" s="1" t="s">
        <v>18</v>
      </c>
      <c r="M175" s="1" t="s">
        <v>18</v>
      </c>
      <c r="O175" s="1" t="s">
        <v>103</v>
      </c>
      <c r="P175" s="1" t="s">
        <v>20</v>
      </c>
    </row>
    <row r="176" spans="1:16" ht="13" x14ac:dyDescent="0.15">
      <c r="A176" s="1" t="s">
        <v>279</v>
      </c>
      <c r="B176" s="1">
        <v>1300</v>
      </c>
      <c r="C176" s="1" t="s">
        <v>17</v>
      </c>
      <c r="D176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76" s="1" t="s">
        <v>18</v>
      </c>
      <c r="M176" s="1" t="s">
        <v>18</v>
      </c>
      <c r="O176" s="1" t="s">
        <v>280</v>
      </c>
      <c r="P176" s="1" t="s">
        <v>20</v>
      </c>
    </row>
    <row r="177" spans="1:16" ht="13" x14ac:dyDescent="0.15">
      <c r="A177" s="1" t="s">
        <v>281</v>
      </c>
      <c r="B177" s="1">
        <v>1300</v>
      </c>
      <c r="C177" s="1" t="s">
        <v>17</v>
      </c>
      <c r="D177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77" s="1" t="s">
        <v>18</v>
      </c>
      <c r="M177" s="1" t="s">
        <v>18</v>
      </c>
      <c r="O177" s="1" t="s">
        <v>130</v>
      </c>
      <c r="P177" s="1" t="s">
        <v>20</v>
      </c>
    </row>
    <row r="178" spans="1:16" ht="13" x14ac:dyDescent="0.15">
      <c r="A178" s="1" t="s">
        <v>282</v>
      </c>
      <c r="B178" s="1">
        <v>1300</v>
      </c>
      <c r="C178" s="1" t="s">
        <v>17</v>
      </c>
      <c r="D178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78" s="1" t="s">
        <v>18</v>
      </c>
      <c r="M178" s="1" t="s">
        <v>18</v>
      </c>
      <c r="O178" s="1" t="s">
        <v>280</v>
      </c>
      <c r="P178" s="1" t="s">
        <v>20</v>
      </c>
    </row>
    <row r="179" spans="1:16" ht="13" x14ac:dyDescent="0.15">
      <c r="A179" s="1" t="s">
        <v>283</v>
      </c>
      <c r="B179" s="1">
        <v>1300</v>
      </c>
      <c r="C179" s="1" t="s">
        <v>17</v>
      </c>
      <c r="D179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79" s="1" t="s">
        <v>18</v>
      </c>
      <c r="M179" s="1" t="s">
        <v>18</v>
      </c>
      <c r="O179" s="1" t="s">
        <v>118</v>
      </c>
      <c r="P179" s="1" t="s">
        <v>20</v>
      </c>
    </row>
    <row r="180" spans="1:16" ht="13" x14ac:dyDescent="0.15">
      <c r="A180" s="1" t="s">
        <v>284</v>
      </c>
      <c r="B180" s="1">
        <v>1300</v>
      </c>
      <c r="C180" s="1" t="s">
        <v>17</v>
      </c>
      <c r="D180" s="1" t="str">
        <f ca="1">IFERROR(__xludf.DUMMYFUNCTION("AI(""Peux-tu classifier le mot-clé dans la colonne A sur base d'une des trois catégories suivantes: Cuisine,Salle de bains, Intérieur &amp; sur-mesure "")"),"Salle de bains")</f>
        <v>Salle de bains</v>
      </c>
      <c r="L180" s="1" t="s">
        <v>18</v>
      </c>
      <c r="M180" s="1" t="s">
        <v>18</v>
      </c>
      <c r="O180" s="1" t="s">
        <v>26</v>
      </c>
      <c r="P180" s="1" t="s">
        <v>20</v>
      </c>
    </row>
    <row r="181" spans="1:16" ht="13" x14ac:dyDescent="0.15">
      <c r="A181" s="1" t="s">
        <v>285</v>
      </c>
      <c r="B181" s="1">
        <v>1300</v>
      </c>
      <c r="C181" s="1" t="s">
        <v>17</v>
      </c>
      <c r="D181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81" s="1" t="s">
        <v>18</v>
      </c>
      <c r="M181" s="1" t="s">
        <v>18</v>
      </c>
      <c r="O181" s="1" t="s">
        <v>286</v>
      </c>
      <c r="P181" s="1" t="s">
        <v>20</v>
      </c>
    </row>
    <row r="182" spans="1:16" ht="13" x14ac:dyDescent="0.15">
      <c r="A182" s="1" t="s">
        <v>287</v>
      </c>
      <c r="B182" s="1">
        <v>1300</v>
      </c>
      <c r="C182" s="1" t="s">
        <v>17</v>
      </c>
      <c r="D182" s="1" t="str">
        <f ca="1">IFERROR(__xludf.DUMMYFUNCTION("AI(""Peux-tu classifier le mot-clé dans la colonne A sur base d'une des trois catégories suivantes: Cuisine,Salle de bains, Intérieur &amp; sur-mesure "")"),"Salle de bains")</f>
        <v>Salle de bains</v>
      </c>
      <c r="L182" s="1" t="s">
        <v>18</v>
      </c>
      <c r="M182" s="1" t="s">
        <v>18</v>
      </c>
      <c r="O182" s="1" t="s">
        <v>26</v>
      </c>
      <c r="P182" s="1" t="s">
        <v>20</v>
      </c>
    </row>
    <row r="183" spans="1:16" ht="13" x14ac:dyDescent="0.15">
      <c r="A183" s="1" t="s">
        <v>288</v>
      </c>
      <c r="B183" s="1">
        <v>1300</v>
      </c>
      <c r="C183" s="1" t="s">
        <v>17</v>
      </c>
      <c r="D183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83" s="1" t="s">
        <v>18</v>
      </c>
      <c r="M183" s="1" t="s">
        <v>18</v>
      </c>
      <c r="O183" s="1" t="s">
        <v>108</v>
      </c>
      <c r="P183" s="1" t="s">
        <v>20</v>
      </c>
    </row>
    <row r="184" spans="1:16" ht="13" x14ac:dyDescent="0.15">
      <c r="A184" s="1" t="s">
        <v>289</v>
      </c>
      <c r="B184" s="1">
        <v>1300</v>
      </c>
      <c r="C184" s="1" t="s">
        <v>17</v>
      </c>
      <c r="D184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84" s="1" t="s">
        <v>18</v>
      </c>
      <c r="M184" s="1" t="s">
        <v>18</v>
      </c>
      <c r="O184" s="1" t="s">
        <v>280</v>
      </c>
      <c r="P184" s="1" t="s">
        <v>20</v>
      </c>
    </row>
    <row r="185" spans="1:16" ht="13" x14ac:dyDescent="0.15">
      <c r="A185" s="1" t="s">
        <v>290</v>
      </c>
      <c r="B185" s="1">
        <v>1300</v>
      </c>
      <c r="C185" s="1" t="s">
        <v>17</v>
      </c>
      <c r="D185" s="1" t="str">
        <f ca="1">IFERROR(__xludf.DUMMYFUNCTION("AI(""Peux-tu classifier le mot-clé dans la colonne A sur base d'une des trois catégories suivantes: Cuisine,Salle de bains, Intérieur &amp; sur-mesure "")"),"Salle de bains")</f>
        <v>Salle de bains</v>
      </c>
      <c r="L185" s="1" t="s">
        <v>18</v>
      </c>
      <c r="M185" s="1" t="s">
        <v>18</v>
      </c>
      <c r="O185" s="1" t="s">
        <v>291</v>
      </c>
      <c r="P185" s="1" t="s">
        <v>72</v>
      </c>
    </row>
    <row r="186" spans="1:16" ht="13" x14ac:dyDescent="0.15">
      <c r="A186" s="1" t="s">
        <v>292</v>
      </c>
      <c r="B186" s="1">
        <v>1300</v>
      </c>
      <c r="C186" s="1" t="s">
        <v>17</v>
      </c>
      <c r="D186" s="1" t="str">
        <f ca="1">IFERROR(__xludf.DUMMYFUNCTION("AI(""Peux-tu classifier le mot-clé dans la colonne A sur base d'une des trois catégories suivantes: Cuisine,Salle de bains, Intérieur &amp; sur-mesure "")"),"Salle de bains")</f>
        <v>Salle de bains</v>
      </c>
      <c r="L186" s="1" t="s">
        <v>18</v>
      </c>
      <c r="M186" s="1" t="s">
        <v>18</v>
      </c>
      <c r="O186" s="1" t="s">
        <v>293</v>
      </c>
      <c r="P186" s="1" t="s">
        <v>20</v>
      </c>
    </row>
    <row r="187" spans="1:16" ht="13" x14ac:dyDescent="0.15">
      <c r="A187" s="1" t="s">
        <v>294</v>
      </c>
      <c r="B187" s="1">
        <v>1300</v>
      </c>
      <c r="C187" s="1" t="s">
        <v>17</v>
      </c>
      <c r="D187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87" s="1" t="s">
        <v>18</v>
      </c>
      <c r="M187" s="1" t="s">
        <v>18</v>
      </c>
      <c r="O187" s="1" t="s">
        <v>80</v>
      </c>
      <c r="P187" s="1" t="s">
        <v>20</v>
      </c>
    </row>
    <row r="188" spans="1:16" ht="13" x14ac:dyDescent="0.15">
      <c r="A188" s="1" t="s">
        <v>295</v>
      </c>
      <c r="B188" s="1">
        <v>1000</v>
      </c>
      <c r="C188" s="1" t="s">
        <v>17</v>
      </c>
      <c r="D188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88" s="1" t="s">
        <v>18</v>
      </c>
      <c r="M188" s="1" t="s">
        <v>18</v>
      </c>
      <c r="O188" s="1" t="s">
        <v>221</v>
      </c>
      <c r="P188" s="1" t="s">
        <v>20</v>
      </c>
    </row>
    <row r="189" spans="1:16" ht="13" x14ac:dyDescent="0.15">
      <c r="A189" s="1" t="s">
        <v>296</v>
      </c>
      <c r="B189" s="1">
        <v>1000</v>
      </c>
      <c r="C189" s="1" t="s">
        <v>17</v>
      </c>
      <c r="D189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89" s="1" t="s">
        <v>18</v>
      </c>
      <c r="M189" s="1" t="s">
        <v>18</v>
      </c>
      <c r="O189" s="1" t="s">
        <v>297</v>
      </c>
      <c r="P189" s="1" t="s">
        <v>20</v>
      </c>
    </row>
    <row r="190" spans="1:16" ht="13" x14ac:dyDescent="0.15">
      <c r="A190" s="1" t="s">
        <v>298</v>
      </c>
      <c r="B190" s="1">
        <v>1000</v>
      </c>
      <c r="C190" s="1" t="s">
        <v>17</v>
      </c>
      <c r="D190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90" s="1" t="s">
        <v>18</v>
      </c>
      <c r="M190" s="1" t="s">
        <v>18</v>
      </c>
      <c r="O190" s="1" t="s">
        <v>299</v>
      </c>
      <c r="P190" s="1" t="s">
        <v>20</v>
      </c>
    </row>
    <row r="191" spans="1:16" ht="13" x14ac:dyDescent="0.15">
      <c r="A191" s="1" t="s">
        <v>300</v>
      </c>
      <c r="B191" s="1">
        <v>1000</v>
      </c>
      <c r="C191" s="1" t="s">
        <v>17</v>
      </c>
      <c r="D191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91" s="1" t="s">
        <v>18</v>
      </c>
      <c r="M191" s="1" t="s">
        <v>18</v>
      </c>
      <c r="O191" s="1" t="s">
        <v>218</v>
      </c>
      <c r="P191" s="1" t="s">
        <v>20</v>
      </c>
    </row>
    <row r="192" spans="1:16" ht="13" x14ac:dyDescent="0.15">
      <c r="A192" s="1" t="s">
        <v>301</v>
      </c>
      <c r="B192" s="1">
        <v>1000</v>
      </c>
      <c r="C192" s="1" t="s">
        <v>17</v>
      </c>
      <c r="D192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92" s="1" t="s">
        <v>18</v>
      </c>
      <c r="M192" s="1" t="s">
        <v>18</v>
      </c>
      <c r="O192" s="1" t="s">
        <v>218</v>
      </c>
      <c r="P192" s="1" t="s">
        <v>20</v>
      </c>
    </row>
    <row r="193" spans="1:16" ht="13" x14ac:dyDescent="0.15">
      <c r="A193" s="1" t="s">
        <v>302</v>
      </c>
      <c r="B193" s="1">
        <v>1000</v>
      </c>
      <c r="C193" s="1" t="s">
        <v>17</v>
      </c>
      <c r="D193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93" s="1" t="s">
        <v>18</v>
      </c>
      <c r="M193" s="1" t="s">
        <v>18</v>
      </c>
      <c r="O193" s="1" t="s">
        <v>65</v>
      </c>
      <c r="P193" s="1" t="s">
        <v>20</v>
      </c>
    </row>
    <row r="194" spans="1:16" ht="13" x14ac:dyDescent="0.15">
      <c r="A194" s="1" t="s">
        <v>303</v>
      </c>
      <c r="B194" s="1">
        <v>1000</v>
      </c>
      <c r="C194" s="1" t="s">
        <v>17</v>
      </c>
      <c r="D194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94" s="1" t="s">
        <v>18</v>
      </c>
      <c r="M194" s="1" t="s">
        <v>18</v>
      </c>
      <c r="O194" s="1" t="s">
        <v>304</v>
      </c>
      <c r="P194" s="1" t="s">
        <v>205</v>
      </c>
    </row>
    <row r="195" spans="1:16" ht="13" x14ac:dyDescent="0.15">
      <c r="A195" s="1" t="s">
        <v>305</v>
      </c>
      <c r="B195" s="1">
        <v>1000</v>
      </c>
      <c r="C195" s="1" t="s">
        <v>17</v>
      </c>
      <c r="D195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95" s="1" t="s">
        <v>18</v>
      </c>
      <c r="M195" s="1" t="s">
        <v>18</v>
      </c>
      <c r="O195" s="1" t="s">
        <v>306</v>
      </c>
      <c r="P195" s="1" t="s">
        <v>20</v>
      </c>
    </row>
    <row r="196" spans="1:16" ht="13" x14ac:dyDescent="0.15">
      <c r="A196" s="1" t="s">
        <v>307</v>
      </c>
      <c r="B196" s="1">
        <v>1000</v>
      </c>
      <c r="C196" s="1" t="s">
        <v>17</v>
      </c>
      <c r="D196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96" s="1" t="s">
        <v>18</v>
      </c>
      <c r="M196" s="1" t="s">
        <v>18</v>
      </c>
      <c r="O196" s="1" t="s">
        <v>299</v>
      </c>
      <c r="P196" s="1" t="s">
        <v>20</v>
      </c>
    </row>
    <row r="197" spans="1:16" ht="13" x14ac:dyDescent="0.15">
      <c r="A197" s="1" t="s">
        <v>308</v>
      </c>
      <c r="B197" s="1">
        <v>1000</v>
      </c>
      <c r="C197" s="1" t="s">
        <v>17</v>
      </c>
      <c r="D197" s="1" t="str">
        <f ca="1">IFERROR(__xludf.DUMMYFUNCTION("AI(""Peux-tu classifier le mot-clé dans la colonne A sur base d'une des trois catégories suivantes: Cuisine,Salle de bains, Intérieur &amp; sur-mesure "")"),"Salle de bains")</f>
        <v>Salle de bains</v>
      </c>
      <c r="L197" s="1" t="s">
        <v>18</v>
      </c>
      <c r="M197" s="1" t="s">
        <v>18</v>
      </c>
      <c r="O197" s="1" t="s">
        <v>309</v>
      </c>
      <c r="P197" s="1" t="s">
        <v>72</v>
      </c>
    </row>
    <row r="198" spans="1:16" ht="13" x14ac:dyDescent="0.15">
      <c r="A198" s="1" t="s">
        <v>310</v>
      </c>
      <c r="B198" s="1">
        <v>1000</v>
      </c>
      <c r="C198" s="1" t="s">
        <v>17</v>
      </c>
      <c r="D198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98" s="1" t="s">
        <v>18</v>
      </c>
      <c r="M198" s="1" t="s">
        <v>18</v>
      </c>
      <c r="O198" s="1" t="s">
        <v>311</v>
      </c>
      <c r="P198" s="1" t="s">
        <v>20</v>
      </c>
    </row>
    <row r="199" spans="1:16" ht="13" x14ac:dyDescent="0.15">
      <c r="A199" s="1" t="s">
        <v>312</v>
      </c>
      <c r="B199" s="1">
        <v>1000</v>
      </c>
      <c r="C199" s="1" t="s">
        <v>17</v>
      </c>
      <c r="D199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199" s="1" t="s">
        <v>18</v>
      </c>
      <c r="M199" s="1" t="s">
        <v>18</v>
      </c>
      <c r="O199" s="1" t="s">
        <v>297</v>
      </c>
      <c r="P199" s="1" t="s">
        <v>20</v>
      </c>
    </row>
    <row r="200" spans="1:16" ht="13" x14ac:dyDescent="0.15">
      <c r="A200" s="1" t="s">
        <v>313</v>
      </c>
      <c r="B200" s="1">
        <v>1000</v>
      </c>
      <c r="C200" s="1" t="s">
        <v>17</v>
      </c>
      <c r="D200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00" s="1" t="s">
        <v>18</v>
      </c>
      <c r="M200" s="1" t="s">
        <v>18</v>
      </c>
      <c r="O200" s="1" t="s">
        <v>297</v>
      </c>
      <c r="P200" s="1" t="s">
        <v>20</v>
      </c>
    </row>
    <row r="201" spans="1:16" ht="13" x14ac:dyDescent="0.15">
      <c r="A201" s="1" t="s">
        <v>314</v>
      </c>
      <c r="B201" s="1">
        <v>1000</v>
      </c>
      <c r="C201" s="1" t="s">
        <v>17</v>
      </c>
      <c r="D201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01" s="1" t="s">
        <v>18</v>
      </c>
      <c r="M201" s="1" t="s">
        <v>18</v>
      </c>
      <c r="O201" s="1" t="s">
        <v>35</v>
      </c>
      <c r="P201" s="1" t="s">
        <v>20</v>
      </c>
    </row>
    <row r="202" spans="1:16" ht="13" x14ac:dyDescent="0.15">
      <c r="A202" s="1" t="s">
        <v>315</v>
      </c>
      <c r="B202" s="1">
        <v>1000</v>
      </c>
      <c r="C202" s="1" t="s">
        <v>17</v>
      </c>
      <c r="D202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02" s="1" t="s">
        <v>18</v>
      </c>
      <c r="M202" s="1" t="s">
        <v>18</v>
      </c>
      <c r="O202" s="1" t="s">
        <v>28</v>
      </c>
      <c r="P202" s="1" t="s">
        <v>20</v>
      </c>
    </row>
    <row r="203" spans="1:16" ht="13" x14ac:dyDescent="0.15">
      <c r="A203" s="1" t="s">
        <v>316</v>
      </c>
      <c r="B203" s="1">
        <v>880</v>
      </c>
      <c r="C203" s="1" t="s">
        <v>17</v>
      </c>
      <c r="D203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03" s="1" t="s">
        <v>18</v>
      </c>
      <c r="M203" s="1" t="s">
        <v>18</v>
      </c>
      <c r="O203" s="1" t="s">
        <v>317</v>
      </c>
      <c r="P203" s="1" t="s">
        <v>20</v>
      </c>
    </row>
    <row r="204" spans="1:16" ht="13" x14ac:dyDescent="0.15">
      <c r="A204" s="1" t="s">
        <v>318</v>
      </c>
      <c r="B204" s="1">
        <v>880</v>
      </c>
      <c r="C204" s="1" t="s">
        <v>17</v>
      </c>
      <c r="D204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04" s="1" t="s">
        <v>18</v>
      </c>
      <c r="M204" s="1" t="s">
        <v>18</v>
      </c>
      <c r="O204" s="1" t="s">
        <v>101</v>
      </c>
      <c r="P204" s="1" t="s">
        <v>20</v>
      </c>
    </row>
    <row r="205" spans="1:16" ht="13" x14ac:dyDescent="0.15">
      <c r="A205" s="1" t="s">
        <v>319</v>
      </c>
      <c r="B205" s="1">
        <v>880</v>
      </c>
      <c r="C205" s="1" t="s">
        <v>17</v>
      </c>
      <c r="D205" s="1" t="str">
        <f ca="1">IFERROR(__xludf.DUMMYFUNCTION("AI(""Peux-tu classifier le mot-clé dans la colonne A sur base d'une des trois catégories suivantes: Cuisine,Salle de bains, Intérieur &amp; sur-mesure "")"),"Intérieur &amp; sur-mesure")</f>
        <v>Intérieur &amp; sur-mesure</v>
      </c>
      <c r="L205" s="1" t="s">
        <v>18</v>
      </c>
      <c r="M205" s="1" t="s">
        <v>18</v>
      </c>
      <c r="O205" s="1" t="s">
        <v>320</v>
      </c>
      <c r="P205" s="1" t="s">
        <v>20</v>
      </c>
    </row>
    <row r="206" spans="1:16" ht="13" x14ac:dyDescent="0.15">
      <c r="A206" s="1" t="s">
        <v>321</v>
      </c>
      <c r="B206" s="1">
        <v>880</v>
      </c>
      <c r="C206" s="1" t="s">
        <v>17</v>
      </c>
      <c r="D206" s="1" t="str">
        <f ca="1">IFERROR(__xludf.DUMMYFUNCTION("AI(""Peux-tu classifier le mot-clé dans la colonne A sur base d'une des trois catégories suivantes: Cuisine,Salle de bains, Intérieur &amp; sur-mesure "")"),"Intérieur &amp; Sur-mesure")</f>
        <v>Intérieur &amp; Sur-mesure</v>
      </c>
      <c r="L206" s="1" t="s">
        <v>18</v>
      </c>
      <c r="M206" s="1" t="s">
        <v>18</v>
      </c>
      <c r="O206" s="1" t="s">
        <v>147</v>
      </c>
      <c r="P206" s="1" t="s">
        <v>20</v>
      </c>
    </row>
    <row r="207" spans="1:16" ht="13" x14ac:dyDescent="0.15">
      <c r="A207" s="1" t="s">
        <v>322</v>
      </c>
      <c r="B207" s="1">
        <v>880</v>
      </c>
      <c r="C207" s="1" t="s">
        <v>17</v>
      </c>
      <c r="D207" s="1" t="str">
        <f ca="1">IFERROR(__xludf.DUMMYFUNCTION("AI(""Peux-tu classifier le mot-clé dans la colonne A sur base d'une des trois catégories suivantes: Cuisine,Salle de bains, Intérieur &amp; sur-mesure "")"),"Intérieur &amp; sur-mesure")</f>
        <v>Intérieur &amp; sur-mesure</v>
      </c>
      <c r="L207" s="1" t="s">
        <v>18</v>
      </c>
      <c r="M207" s="1" t="s">
        <v>18</v>
      </c>
      <c r="O207" s="1" t="s">
        <v>323</v>
      </c>
      <c r="P207" s="1" t="s">
        <v>72</v>
      </c>
    </row>
    <row r="208" spans="1:16" ht="13" x14ac:dyDescent="0.15">
      <c r="A208" s="1" t="s">
        <v>324</v>
      </c>
      <c r="B208" s="1">
        <v>880</v>
      </c>
      <c r="C208" s="1" t="s">
        <v>17</v>
      </c>
      <c r="D208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08" s="1" t="s">
        <v>18</v>
      </c>
      <c r="M208" s="1" t="s">
        <v>18</v>
      </c>
      <c r="O208" s="1" t="s">
        <v>325</v>
      </c>
      <c r="P208" s="1" t="s">
        <v>20</v>
      </c>
    </row>
    <row r="209" spans="1:16" ht="13" x14ac:dyDescent="0.15">
      <c r="A209" s="1" t="s">
        <v>326</v>
      </c>
      <c r="B209" s="1">
        <v>880</v>
      </c>
      <c r="C209" s="1" t="s">
        <v>17</v>
      </c>
      <c r="D209" s="1" t="str">
        <f ca="1">IFERROR(__xludf.DUMMYFUNCTION("AI(""Peux-tu classifier le mot-clé dans la colonne A sur base d'une des trois catégories suivantes: Cuisine,Salle de bains, Intérieur &amp; sur-mesure "")"),"Intérieur &amp; sur-mesure")</f>
        <v>Intérieur &amp; sur-mesure</v>
      </c>
      <c r="L209" s="1" t="s">
        <v>18</v>
      </c>
      <c r="M209" s="1" t="s">
        <v>18</v>
      </c>
      <c r="O209" s="1" t="s">
        <v>320</v>
      </c>
      <c r="P209" s="1" t="s">
        <v>20</v>
      </c>
    </row>
    <row r="210" spans="1:16" ht="13" x14ac:dyDescent="0.15">
      <c r="A210" s="1" t="s">
        <v>327</v>
      </c>
      <c r="B210" s="1">
        <v>880</v>
      </c>
      <c r="C210" s="1" t="s">
        <v>17</v>
      </c>
      <c r="D210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10" s="1" t="s">
        <v>18</v>
      </c>
      <c r="M210" s="1" t="s">
        <v>18</v>
      </c>
      <c r="O210" s="1" t="s">
        <v>328</v>
      </c>
      <c r="P210" s="1" t="s">
        <v>20</v>
      </c>
    </row>
    <row r="211" spans="1:16" ht="13" x14ac:dyDescent="0.15">
      <c r="A211" s="1" t="s">
        <v>329</v>
      </c>
      <c r="B211" s="1">
        <v>880</v>
      </c>
      <c r="C211" s="1" t="s">
        <v>17</v>
      </c>
      <c r="D211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11" s="1" t="s">
        <v>18</v>
      </c>
      <c r="M211" s="1" t="s">
        <v>18</v>
      </c>
      <c r="O211" s="1" t="s">
        <v>330</v>
      </c>
      <c r="P211" s="1" t="s">
        <v>205</v>
      </c>
    </row>
    <row r="212" spans="1:16" ht="13" x14ac:dyDescent="0.15">
      <c r="A212" s="1" t="s">
        <v>331</v>
      </c>
      <c r="B212" s="1">
        <v>880</v>
      </c>
      <c r="C212" s="1" t="s">
        <v>17</v>
      </c>
      <c r="D212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12" s="1" t="s">
        <v>18</v>
      </c>
      <c r="M212" s="1" t="s">
        <v>18</v>
      </c>
      <c r="O212" s="1" t="s">
        <v>332</v>
      </c>
      <c r="P212" s="1" t="s">
        <v>72</v>
      </c>
    </row>
    <row r="213" spans="1:16" ht="13" x14ac:dyDescent="0.15">
      <c r="A213" s="1" t="s">
        <v>333</v>
      </c>
      <c r="B213" s="1">
        <v>880</v>
      </c>
      <c r="C213" s="1" t="s">
        <v>17</v>
      </c>
      <c r="D213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13" s="1" t="s">
        <v>18</v>
      </c>
      <c r="M213" s="1" t="s">
        <v>18</v>
      </c>
      <c r="O213" s="1" t="s">
        <v>334</v>
      </c>
      <c r="P213" s="1" t="s">
        <v>20</v>
      </c>
    </row>
    <row r="214" spans="1:16" ht="13" x14ac:dyDescent="0.15">
      <c r="A214" s="1" t="s">
        <v>335</v>
      </c>
      <c r="B214" s="1">
        <v>880</v>
      </c>
      <c r="C214" s="1" t="s">
        <v>17</v>
      </c>
      <c r="D214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14" s="1" t="s">
        <v>18</v>
      </c>
      <c r="M214" s="1" t="s">
        <v>18</v>
      </c>
      <c r="O214" s="1" t="s">
        <v>221</v>
      </c>
      <c r="P214" s="1" t="s">
        <v>20</v>
      </c>
    </row>
    <row r="215" spans="1:16" ht="13" x14ac:dyDescent="0.15">
      <c r="A215" s="1" t="s">
        <v>336</v>
      </c>
      <c r="B215" s="1">
        <v>880</v>
      </c>
      <c r="C215" s="1" t="s">
        <v>17</v>
      </c>
      <c r="D215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15" s="1" t="s">
        <v>18</v>
      </c>
      <c r="M215" s="1" t="s">
        <v>18</v>
      </c>
      <c r="O215" s="1" t="s">
        <v>221</v>
      </c>
      <c r="P215" s="1" t="s">
        <v>20</v>
      </c>
    </row>
    <row r="216" spans="1:16" ht="13" x14ac:dyDescent="0.15">
      <c r="A216" s="1" t="s">
        <v>337</v>
      </c>
      <c r="B216" s="1">
        <v>880</v>
      </c>
      <c r="C216" s="1" t="s">
        <v>17</v>
      </c>
      <c r="D216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16" s="1" t="s">
        <v>18</v>
      </c>
      <c r="M216" s="1" t="s">
        <v>18</v>
      </c>
      <c r="O216" s="1" t="s">
        <v>221</v>
      </c>
      <c r="P216" s="1" t="s">
        <v>20</v>
      </c>
    </row>
    <row r="217" spans="1:16" ht="13" x14ac:dyDescent="0.15">
      <c r="A217" s="1" t="s">
        <v>338</v>
      </c>
      <c r="B217" s="1">
        <v>720</v>
      </c>
      <c r="C217" s="1" t="s">
        <v>17</v>
      </c>
      <c r="D217" s="1" t="str">
        <f ca="1">IFERROR(__xludf.DUMMYFUNCTION("AI(""Peux-tu classifier le mot-clé dans la colonne A sur base d'une des trois catégories suivantes: Cuisine,Salle de bains, Intérieur &amp; sur-mesure "")"),"Intérieur &amp; sur-mesure")</f>
        <v>Intérieur &amp; sur-mesure</v>
      </c>
      <c r="L217" s="1" t="s">
        <v>18</v>
      </c>
      <c r="M217" s="1" t="s">
        <v>18</v>
      </c>
      <c r="O217" s="1" t="s">
        <v>339</v>
      </c>
      <c r="P217" s="1" t="s">
        <v>20</v>
      </c>
    </row>
    <row r="218" spans="1:16" ht="13" x14ac:dyDescent="0.15">
      <c r="A218" s="1" t="s">
        <v>340</v>
      </c>
      <c r="B218" s="1">
        <v>720</v>
      </c>
      <c r="C218" s="1" t="s">
        <v>17</v>
      </c>
      <c r="D218" s="1" t="str">
        <f ca="1">IFERROR(__xludf.DUMMYFUNCTION("AI(""Peux-tu classifier le mot-clé dans la colonne A sur base d'une des trois catégories suivantes: Cuisine,Salle de bains, Intérieur &amp; sur-mesure "")"),"Intérieur &amp; sur-mesure")</f>
        <v>Intérieur &amp; sur-mesure</v>
      </c>
      <c r="L218" s="1" t="s">
        <v>18</v>
      </c>
      <c r="M218" s="1" t="s">
        <v>18</v>
      </c>
      <c r="O218" s="1" t="s">
        <v>341</v>
      </c>
      <c r="P218" s="1" t="s">
        <v>20</v>
      </c>
    </row>
    <row r="219" spans="1:16" ht="13" x14ac:dyDescent="0.15">
      <c r="A219" s="1" t="s">
        <v>342</v>
      </c>
      <c r="B219" s="1">
        <v>720</v>
      </c>
      <c r="C219" s="1" t="s">
        <v>17</v>
      </c>
      <c r="D219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19" s="1" t="s">
        <v>18</v>
      </c>
      <c r="M219" s="1" t="s">
        <v>18</v>
      </c>
      <c r="O219" s="1" t="s">
        <v>343</v>
      </c>
      <c r="P219" s="1" t="s">
        <v>20</v>
      </c>
    </row>
    <row r="220" spans="1:16" ht="13" x14ac:dyDescent="0.15">
      <c r="A220" s="1" t="s">
        <v>344</v>
      </c>
      <c r="B220" s="1">
        <v>720</v>
      </c>
      <c r="C220" s="1" t="s">
        <v>17</v>
      </c>
      <c r="D220" s="1" t="str">
        <f ca="1">IFERROR(__xludf.DUMMYFUNCTION("AI(""Peux-tu classifier le mot-clé dans la colonne A sur base d'une des trois catégories suivantes: Cuisine,Salle de bains, Intérieur &amp; sur-mesure "")"),"Intérieur &amp; sur-mesure")</f>
        <v>Intérieur &amp; sur-mesure</v>
      </c>
      <c r="L220" s="1" t="s">
        <v>18</v>
      </c>
      <c r="M220" s="1" t="s">
        <v>18</v>
      </c>
      <c r="O220" s="1" t="s">
        <v>345</v>
      </c>
      <c r="P220" s="1" t="s">
        <v>20</v>
      </c>
    </row>
    <row r="221" spans="1:16" ht="13" x14ac:dyDescent="0.15">
      <c r="A221" s="1" t="s">
        <v>346</v>
      </c>
      <c r="B221" s="1">
        <v>720</v>
      </c>
      <c r="C221" s="1" t="s">
        <v>17</v>
      </c>
      <c r="D221" s="1" t="str">
        <f ca="1">IFERROR(__xludf.DUMMYFUNCTION("AI(""Peux-tu classifier le mot-clé dans la colonne A sur base d'une des trois catégories suivantes: Cuisine,Salle de bains, Intérieur &amp; sur-mesure "")"),"Intérieur &amp; sur-mesure")</f>
        <v>Intérieur &amp; sur-mesure</v>
      </c>
      <c r="L221" s="1" t="s">
        <v>18</v>
      </c>
      <c r="M221" s="1" t="s">
        <v>18</v>
      </c>
      <c r="O221" s="1" t="s">
        <v>345</v>
      </c>
      <c r="P221" s="1" t="s">
        <v>20</v>
      </c>
    </row>
    <row r="222" spans="1:16" ht="13" x14ac:dyDescent="0.15">
      <c r="A222" s="1" t="s">
        <v>347</v>
      </c>
      <c r="B222" s="1">
        <v>720</v>
      </c>
      <c r="C222" s="1" t="s">
        <v>17</v>
      </c>
      <c r="D222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22" s="1" t="s">
        <v>18</v>
      </c>
      <c r="M222" s="1" t="s">
        <v>18</v>
      </c>
      <c r="O222" s="1" t="s">
        <v>291</v>
      </c>
      <c r="P222" s="1" t="s">
        <v>20</v>
      </c>
    </row>
    <row r="223" spans="1:16" ht="13" x14ac:dyDescent="0.15">
      <c r="A223" s="1" t="s">
        <v>348</v>
      </c>
      <c r="B223" s="1">
        <v>720</v>
      </c>
      <c r="C223" s="1" t="s">
        <v>17</v>
      </c>
      <c r="D223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23" s="1" t="s">
        <v>18</v>
      </c>
      <c r="M223" s="1" t="s">
        <v>18</v>
      </c>
      <c r="O223" s="1" t="s">
        <v>343</v>
      </c>
      <c r="P223" s="1" t="s">
        <v>20</v>
      </c>
    </row>
    <row r="224" spans="1:16" ht="13" x14ac:dyDescent="0.15">
      <c r="A224" s="1" t="s">
        <v>349</v>
      </c>
      <c r="B224" s="1">
        <v>720</v>
      </c>
      <c r="C224" s="1" t="s">
        <v>17</v>
      </c>
      <c r="D224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24" s="1" t="s">
        <v>18</v>
      </c>
      <c r="M224" s="1" t="s">
        <v>18</v>
      </c>
      <c r="O224" s="1" t="s">
        <v>350</v>
      </c>
      <c r="P224" s="1" t="s">
        <v>20</v>
      </c>
    </row>
    <row r="225" spans="1:16" ht="13" x14ac:dyDescent="0.15">
      <c r="A225" s="1" t="s">
        <v>351</v>
      </c>
      <c r="B225" s="1">
        <v>590</v>
      </c>
      <c r="C225" s="1" t="s">
        <v>17</v>
      </c>
      <c r="D225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H225" s="1">
        <v>7</v>
      </c>
      <c r="L225" s="1" t="s">
        <v>18</v>
      </c>
      <c r="M225" s="1" t="s">
        <v>18</v>
      </c>
      <c r="O225" s="1" t="s">
        <v>352</v>
      </c>
      <c r="P225" s="1" t="s">
        <v>72</v>
      </c>
    </row>
    <row r="226" spans="1:16" ht="13" x14ac:dyDescent="0.15">
      <c r="A226" s="1" t="s">
        <v>353</v>
      </c>
      <c r="B226" s="1">
        <v>590</v>
      </c>
      <c r="C226" s="1" t="s">
        <v>17</v>
      </c>
      <c r="D226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26" s="1" t="s">
        <v>18</v>
      </c>
      <c r="M226" s="1" t="s">
        <v>18</v>
      </c>
      <c r="O226" s="1" t="s">
        <v>69</v>
      </c>
      <c r="P226" s="1" t="s">
        <v>20</v>
      </c>
    </row>
    <row r="227" spans="1:16" ht="13" x14ac:dyDescent="0.15">
      <c r="A227" s="1" t="s">
        <v>354</v>
      </c>
      <c r="B227" s="1">
        <v>590</v>
      </c>
      <c r="C227" s="1" t="s">
        <v>17</v>
      </c>
      <c r="D227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27" s="1" t="s">
        <v>18</v>
      </c>
      <c r="M227" s="1" t="s">
        <v>18</v>
      </c>
      <c r="O227" s="1" t="s">
        <v>355</v>
      </c>
      <c r="P227" s="1" t="s">
        <v>20</v>
      </c>
    </row>
    <row r="228" spans="1:16" ht="13" x14ac:dyDescent="0.15">
      <c r="A228" s="1" t="s">
        <v>356</v>
      </c>
      <c r="B228" s="1">
        <v>590</v>
      </c>
      <c r="C228" s="1" t="s">
        <v>17</v>
      </c>
      <c r="D228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28" s="1" t="s">
        <v>18</v>
      </c>
      <c r="M228" s="1" t="s">
        <v>18</v>
      </c>
      <c r="O228" s="1" t="s">
        <v>357</v>
      </c>
      <c r="P228" s="1" t="s">
        <v>72</v>
      </c>
    </row>
    <row r="229" spans="1:16" ht="13" x14ac:dyDescent="0.15">
      <c r="A229" s="1" t="s">
        <v>358</v>
      </c>
      <c r="B229" s="1">
        <v>590</v>
      </c>
      <c r="C229" s="1" t="s">
        <v>17</v>
      </c>
      <c r="D229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G229" s="1">
        <v>5</v>
      </c>
      <c r="L229" s="1" t="s">
        <v>18</v>
      </c>
      <c r="M229" s="1" t="s">
        <v>18</v>
      </c>
      <c r="O229" s="1" t="s">
        <v>352</v>
      </c>
      <c r="P229" s="1" t="s">
        <v>72</v>
      </c>
    </row>
    <row r="230" spans="1:16" ht="13" x14ac:dyDescent="0.15">
      <c r="A230" s="1" t="s">
        <v>359</v>
      </c>
      <c r="B230" s="1">
        <v>590</v>
      </c>
      <c r="C230" s="1" t="s">
        <v>17</v>
      </c>
      <c r="D230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G230" s="1">
        <v>5</v>
      </c>
      <c r="H230" s="1">
        <v>16</v>
      </c>
      <c r="L230" s="1" t="s">
        <v>18</v>
      </c>
      <c r="M230" s="1" t="s">
        <v>18</v>
      </c>
      <c r="O230" s="1" t="s">
        <v>352</v>
      </c>
      <c r="P230" s="1" t="s">
        <v>72</v>
      </c>
    </row>
    <row r="231" spans="1:16" ht="13" x14ac:dyDescent="0.15">
      <c r="A231" s="1" t="s">
        <v>360</v>
      </c>
      <c r="B231" s="1">
        <v>590</v>
      </c>
      <c r="C231" s="1" t="s">
        <v>17</v>
      </c>
      <c r="D231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31" s="1" t="s">
        <v>18</v>
      </c>
      <c r="M231" s="1" t="s">
        <v>18</v>
      </c>
      <c r="O231" s="1" t="s">
        <v>361</v>
      </c>
      <c r="P231" s="1" t="s">
        <v>20</v>
      </c>
    </row>
    <row r="232" spans="1:16" ht="13" x14ac:dyDescent="0.15">
      <c r="A232" s="1" t="s">
        <v>362</v>
      </c>
      <c r="B232" s="1">
        <v>590</v>
      </c>
      <c r="C232" s="1" t="s">
        <v>17</v>
      </c>
      <c r="D232" s="1" t="str">
        <f ca="1">IFERROR(__xludf.DUMMYFUNCTION("AI(""Peux-tu classifier le mot-clé dans la colonne A sur base d'une des trois catégories suivantes: Cuisine,Salle de bains, Intérieur &amp; sur-mesure "")"),"Intérieur &amp; sur-mesure")</f>
        <v>Intérieur &amp; sur-mesure</v>
      </c>
      <c r="L232" s="1" t="s">
        <v>18</v>
      </c>
      <c r="M232" s="1" t="s">
        <v>18</v>
      </c>
      <c r="O232" s="1" t="s">
        <v>363</v>
      </c>
      <c r="P232" s="1" t="s">
        <v>20</v>
      </c>
    </row>
    <row r="233" spans="1:16" ht="13" x14ac:dyDescent="0.15">
      <c r="A233" s="1" t="s">
        <v>364</v>
      </c>
      <c r="B233" s="1">
        <v>590</v>
      </c>
      <c r="C233" s="1" t="s">
        <v>17</v>
      </c>
      <c r="D233" s="1" t="str">
        <f ca="1">IFERROR(__xludf.DUMMYFUNCTION("AI(""Peux-tu classifier le mot-clé dans la colonne A sur base d'une des trois catégories suivantes: Cuisine,Salle de bains, Intérieur &amp; sur-mesure "")"),"Intérieur &amp; sur-mesure")</f>
        <v>Intérieur &amp; sur-mesure</v>
      </c>
      <c r="L233" s="1" t="s">
        <v>18</v>
      </c>
      <c r="M233" s="1" t="s">
        <v>18</v>
      </c>
      <c r="O233" s="1" t="s">
        <v>365</v>
      </c>
      <c r="P233" s="1" t="s">
        <v>20</v>
      </c>
    </row>
    <row r="234" spans="1:16" ht="13" x14ac:dyDescent="0.15">
      <c r="A234" s="1" t="s">
        <v>366</v>
      </c>
      <c r="B234" s="1">
        <v>480</v>
      </c>
      <c r="C234" s="1" t="s">
        <v>72</v>
      </c>
      <c r="D234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34" s="1" t="s">
        <v>18</v>
      </c>
      <c r="M234" s="1" t="s">
        <v>18</v>
      </c>
      <c r="O234" s="1" t="s">
        <v>367</v>
      </c>
      <c r="P234" s="1" t="s">
        <v>20</v>
      </c>
    </row>
    <row r="235" spans="1:16" ht="13" x14ac:dyDescent="0.15">
      <c r="A235" s="1" t="s">
        <v>368</v>
      </c>
      <c r="B235" s="1">
        <v>480</v>
      </c>
      <c r="C235" s="1" t="s">
        <v>72</v>
      </c>
      <c r="D235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35" s="1" t="s">
        <v>18</v>
      </c>
      <c r="M235" s="1" t="s">
        <v>18</v>
      </c>
      <c r="O235" s="1" t="s">
        <v>369</v>
      </c>
      <c r="P235" s="1" t="s">
        <v>20</v>
      </c>
    </row>
    <row r="236" spans="1:16" ht="13" x14ac:dyDescent="0.15">
      <c r="A236" s="1" t="s">
        <v>370</v>
      </c>
      <c r="B236" s="1">
        <v>480</v>
      </c>
      <c r="C236" s="1" t="s">
        <v>72</v>
      </c>
      <c r="D236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36" s="1" t="s">
        <v>18</v>
      </c>
      <c r="M236" s="1" t="s">
        <v>18</v>
      </c>
      <c r="O236" s="1" t="s">
        <v>371</v>
      </c>
      <c r="P236" s="1" t="s">
        <v>20</v>
      </c>
    </row>
    <row r="237" spans="1:16" ht="13" x14ac:dyDescent="0.15">
      <c r="A237" s="1" t="s">
        <v>372</v>
      </c>
      <c r="B237" s="1">
        <v>480</v>
      </c>
      <c r="C237" s="1" t="s">
        <v>72</v>
      </c>
      <c r="D237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37" s="1" t="s">
        <v>18</v>
      </c>
      <c r="M237" s="1" t="s">
        <v>18</v>
      </c>
      <c r="O237" s="1" t="s">
        <v>369</v>
      </c>
      <c r="P237" s="1" t="s">
        <v>20</v>
      </c>
    </row>
    <row r="238" spans="1:16" ht="13" x14ac:dyDescent="0.15">
      <c r="A238" s="1" t="s">
        <v>373</v>
      </c>
      <c r="B238" s="1">
        <v>480</v>
      </c>
      <c r="C238" s="1" t="s">
        <v>72</v>
      </c>
      <c r="D238" s="1" t="str">
        <f ca="1">IFERROR(__xludf.DUMMYFUNCTION("AI(""Peux-tu classifier le mot-clé dans la colonne A sur base d'une des trois catégories suivantes: Cuisine,Salle de bains, Intérieur &amp; sur-mesure "")"),"Intérieur &amp; sur-mesure")</f>
        <v>Intérieur &amp; sur-mesure</v>
      </c>
      <c r="L238" s="1" t="s">
        <v>18</v>
      </c>
      <c r="M238" s="1" t="s">
        <v>18</v>
      </c>
      <c r="O238" s="1" t="s">
        <v>306</v>
      </c>
      <c r="P238" s="1" t="s">
        <v>20</v>
      </c>
    </row>
    <row r="239" spans="1:16" ht="13" x14ac:dyDescent="0.15">
      <c r="A239" s="1" t="s">
        <v>374</v>
      </c>
      <c r="B239" s="1">
        <v>480</v>
      </c>
      <c r="C239" s="1" t="s">
        <v>72</v>
      </c>
      <c r="D239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39" s="1" t="s">
        <v>18</v>
      </c>
      <c r="M239" s="1" t="s">
        <v>18</v>
      </c>
      <c r="O239" s="1" t="s">
        <v>375</v>
      </c>
      <c r="P239" s="1" t="s">
        <v>20</v>
      </c>
    </row>
    <row r="240" spans="1:16" ht="13" x14ac:dyDescent="0.15">
      <c r="A240" s="1" t="s">
        <v>376</v>
      </c>
      <c r="B240" s="1">
        <v>480</v>
      </c>
      <c r="C240" s="1" t="s">
        <v>72</v>
      </c>
      <c r="D240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40" s="1" t="s">
        <v>18</v>
      </c>
      <c r="M240" s="1" t="s">
        <v>18</v>
      </c>
      <c r="O240" s="1" t="s">
        <v>317</v>
      </c>
      <c r="P240" s="1" t="s">
        <v>20</v>
      </c>
    </row>
    <row r="241" spans="1:16" ht="13" x14ac:dyDescent="0.15">
      <c r="A241" s="1" t="s">
        <v>377</v>
      </c>
      <c r="B241" s="1">
        <v>480</v>
      </c>
      <c r="C241" s="1" t="s">
        <v>72</v>
      </c>
      <c r="D241" s="1" t="str">
        <f ca="1">IFERROR(__xludf.DUMMYFUNCTION("AI(""Peux-tu classifier le mot-clé dans la colonne A sur base d'une des trois catégories suivantes: Cuisine,Salle de bains, Intérieur &amp; sur-mesure "")"),"Intérieur &amp; sur-mesure")</f>
        <v>Intérieur &amp; sur-mesure</v>
      </c>
      <c r="L241" s="1" t="s">
        <v>18</v>
      </c>
      <c r="M241" s="1" t="s">
        <v>18</v>
      </c>
      <c r="O241" s="1" t="s">
        <v>378</v>
      </c>
      <c r="P241" s="1" t="s">
        <v>20</v>
      </c>
    </row>
    <row r="242" spans="1:16" ht="13" x14ac:dyDescent="0.15">
      <c r="A242" s="1" t="s">
        <v>379</v>
      </c>
      <c r="B242" s="1">
        <v>480</v>
      </c>
      <c r="C242" s="1" t="s">
        <v>72</v>
      </c>
      <c r="D242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42" s="1" t="s">
        <v>18</v>
      </c>
      <c r="M242" s="1" t="s">
        <v>18</v>
      </c>
      <c r="O242" s="1" t="s">
        <v>380</v>
      </c>
      <c r="P242" s="1" t="s">
        <v>20</v>
      </c>
    </row>
    <row r="243" spans="1:16" ht="13" x14ac:dyDescent="0.15">
      <c r="A243" s="1" t="s">
        <v>381</v>
      </c>
      <c r="B243" s="1">
        <v>480</v>
      </c>
      <c r="C243" s="1" t="s">
        <v>72</v>
      </c>
      <c r="D243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43" s="1" t="s">
        <v>18</v>
      </c>
      <c r="M243" s="1" t="s">
        <v>18</v>
      </c>
      <c r="O243" s="1" t="s">
        <v>382</v>
      </c>
      <c r="P243" s="1" t="s">
        <v>20</v>
      </c>
    </row>
    <row r="244" spans="1:16" ht="13" x14ac:dyDescent="0.15">
      <c r="A244" s="1" t="s">
        <v>383</v>
      </c>
      <c r="B244" s="1">
        <v>480</v>
      </c>
      <c r="C244" s="1" t="s">
        <v>72</v>
      </c>
      <c r="D244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44" s="1" t="s">
        <v>18</v>
      </c>
      <c r="M244" s="1" t="s">
        <v>18</v>
      </c>
      <c r="O244" s="1" t="s">
        <v>304</v>
      </c>
      <c r="P244" s="1" t="s">
        <v>20</v>
      </c>
    </row>
    <row r="245" spans="1:16" ht="13" x14ac:dyDescent="0.15">
      <c r="A245" s="1" t="s">
        <v>384</v>
      </c>
      <c r="B245" s="1">
        <v>480</v>
      </c>
      <c r="C245" s="1" t="s">
        <v>72</v>
      </c>
      <c r="D245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45" s="1" t="s">
        <v>18</v>
      </c>
      <c r="M245" s="1" t="s">
        <v>18</v>
      </c>
      <c r="O245" s="1" t="s">
        <v>371</v>
      </c>
      <c r="P245" s="1" t="s">
        <v>20</v>
      </c>
    </row>
    <row r="246" spans="1:16" ht="13" x14ac:dyDescent="0.15">
      <c r="A246" s="1" t="s">
        <v>385</v>
      </c>
      <c r="B246" s="1">
        <v>480</v>
      </c>
      <c r="C246" s="1" t="s">
        <v>72</v>
      </c>
      <c r="D246" s="1" t="str">
        <f ca="1">IFERROR(__xludf.DUMMYFUNCTION("AI(""Peux-tu classifier le mot-clé dans la colonne A sur base d'une des trois catégories suivantes: Cuisine,Salle de bains, Intérieur &amp; sur-mesure "")"),"Salle de bains")</f>
        <v>Salle de bains</v>
      </c>
      <c r="L246" s="1" t="s">
        <v>18</v>
      </c>
      <c r="M246" s="1" t="s">
        <v>18</v>
      </c>
      <c r="O246" s="1" t="s">
        <v>69</v>
      </c>
      <c r="P246" s="1" t="s">
        <v>20</v>
      </c>
    </row>
    <row r="247" spans="1:16" ht="13" x14ac:dyDescent="0.15">
      <c r="A247" s="1" t="s">
        <v>386</v>
      </c>
      <c r="B247" s="1">
        <v>480</v>
      </c>
      <c r="C247" s="1" t="s">
        <v>72</v>
      </c>
      <c r="D247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47" s="1" t="s">
        <v>18</v>
      </c>
      <c r="M247" s="1" t="s">
        <v>18</v>
      </c>
      <c r="O247" s="1" t="s">
        <v>387</v>
      </c>
      <c r="P247" s="1" t="s">
        <v>20</v>
      </c>
    </row>
    <row r="248" spans="1:16" ht="13" x14ac:dyDescent="0.15">
      <c r="A248" s="1" t="s">
        <v>388</v>
      </c>
      <c r="B248" s="1">
        <v>480</v>
      </c>
      <c r="C248" s="1" t="s">
        <v>72</v>
      </c>
      <c r="D248" s="1" t="str">
        <f ca="1">IFERROR(__xludf.DUMMYFUNCTION("AI(""Peux-tu classifier le mot-clé dans la colonne A sur base d'une des trois catégories suivantes: Cuisine,Salle de bains, Intérieur &amp; sur-mesure "")"),"Intérieur &amp; sur-mesure")</f>
        <v>Intérieur &amp; sur-mesure</v>
      </c>
      <c r="L248" s="1" t="s">
        <v>18</v>
      </c>
      <c r="M248" s="1" t="s">
        <v>18</v>
      </c>
      <c r="O248" s="1" t="s">
        <v>345</v>
      </c>
      <c r="P248" s="1" t="s">
        <v>20</v>
      </c>
    </row>
    <row r="249" spans="1:16" ht="13" x14ac:dyDescent="0.15">
      <c r="A249" s="1" t="s">
        <v>389</v>
      </c>
      <c r="B249" s="1">
        <v>480</v>
      </c>
      <c r="C249" s="1" t="s">
        <v>72</v>
      </c>
      <c r="D249" s="1" t="str">
        <f ca="1">IFERROR(__xludf.DUMMYFUNCTION("AI(""Peux-tu classifier le mot-clé dans la colonne A sur base d'une des trois catégories suivantes: Cuisine,Salle de bains, Intérieur &amp; sur-mesure "")"),"Salle de bains")</f>
        <v>Salle de bains</v>
      </c>
      <c r="L249" s="1" t="s">
        <v>18</v>
      </c>
      <c r="M249" s="1" t="s">
        <v>18</v>
      </c>
      <c r="O249" s="1" t="s">
        <v>275</v>
      </c>
      <c r="P249" s="1" t="s">
        <v>72</v>
      </c>
    </row>
    <row r="250" spans="1:16" ht="13" x14ac:dyDescent="0.15">
      <c r="A250" s="1" t="s">
        <v>390</v>
      </c>
      <c r="B250" s="1">
        <v>390</v>
      </c>
      <c r="C250" s="1" t="s">
        <v>72</v>
      </c>
      <c r="D250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50" s="1" t="s">
        <v>18</v>
      </c>
      <c r="M250" s="1" t="s">
        <v>18</v>
      </c>
      <c r="O250" s="1" t="s">
        <v>116</v>
      </c>
      <c r="P250" s="1" t="s">
        <v>20</v>
      </c>
    </row>
    <row r="251" spans="1:16" ht="13" x14ac:dyDescent="0.15">
      <c r="A251" s="1" t="s">
        <v>391</v>
      </c>
      <c r="B251" s="1">
        <v>390</v>
      </c>
      <c r="C251" s="1" t="s">
        <v>72</v>
      </c>
      <c r="D251" s="1" t="str">
        <f ca="1">IFERROR(__xludf.DUMMYFUNCTION("AI(""Peux-tu classifier le mot-clé dans la colonne A sur base d'une des trois catégories suivantes: Cuisine,Salle de bains, Intérieur &amp; sur-mesure "")"),"Salle de bains")</f>
        <v>Salle de bains</v>
      </c>
      <c r="L251" s="1" t="s">
        <v>18</v>
      </c>
      <c r="M251" s="1" t="s">
        <v>18</v>
      </c>
      <c r="O251" s="1" t="s">
        <v>392</v>
      </c>
      <c r="P251" s="1" t="s">
        <v>20</v>
      </c>
    </row>
    <row r="252" spans="1:16" ht="13" x14ac:dyDescent="0.15">
      <c r="A252" s="1" t="s">
        <v>393</v>
      </c>
      <c r="B252" s="1">
        <v>390</v>
      </c>
      <c r="C252" s="1" t="s">
        <v>72</v>
      </c>
      <c r="D252" s="1" t="str">
        <f ca="1">IFERROR(__xludf.DUMMYFUNCTION("AI(""Peux-tu classifier le mot-clé dans la colonne A sur base d'une des trois catégories suivantes: Cuisine,Salle de bains, Intérieur &amp; sur-mesure "")"),"Salle de bains")</f>
        <v>Salle de bains</v>
      </c>
      <c r="L252" s="1" t="s">
        <v>18</v>
      </c>
      <c r="M252" s="1" t="s">
        <v>18</v>
      </c>
      <c r="O252" s="1" t="s">
        <v>394</v>
      </c>
      <c r="P252" s="1" t="s">
        <v>20</v>
      </c>
    </row>
    <row r="253" spans="1:16" ht="13" x14ac:dyDescent="0.15">
      <c r="A253" s="1" t="s">
        <v>395</v>
      </c>
      <c r="B253" s="1">
        <v>390</v>
      </c>
      <c r="C253" s="1" t="s">
        <v>72</v>
      </c>
      <c r="D253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53" s="1" t="s">
        <v>18</v>
      </c>
      <c r="M253" s="1" t="s">
        <v>18</v>
      </c>
      <c r="O253" s="1" t="s">
        <v>396</v>
      </c>
      <c r="P253" s="1" t="s">
        <v>20</v>
      </c>
    </row>
    <row r="254" spans="1:16" ht="13" x14ac:dyDescent="0.15">
      <c r="A254" s="1" t="s">
        <v>397</v>
      </c>
      <c r="B254" s="1">
        <v>390</v>
      </c>
      <c r="C254" s="1" t="s">
        <v>72</v>
      </c>
      <c r="D254" s="1" t="str">
        <f ca="1">IFERROR(__xludf.DUMMYFUNCTION("AI(""Peux-tu classifier le mot-clé dans la colonne A sur base d'une des trois catégories suivantes: Cuisine,Salle de bains, Intérieur &amp; sur-mesure "")"),"Intérieur &amp; sur-mesure")</f>
        <v>Intérieur &amp; sur-mesure</v>
      </c>
      <c r="L254" s="1" t="s">
        <v>18</v>
      </c>
      <c r="M254" s="1" t="s">
        <v>18</v>
      </c>
      <c r="O254" s="1" t="s">
        <v>398</v>
      </c>
      <c r="P254" s="1" t="s">
        <v>20</v>
      </c>
    </row>
    <row r="255" spans="1:16" ht="13" x14ac:dyDescent="0.15">
      <c r="A255" s="1" t="s">
        <v>399</v>
      </c>
      <c r="B255" s="1">
        <v>390</v>
      </c>
      <c r="C255" s="1" t="s">
        <v>72</v>
      </c>
      <c r="D255" s="1" t="str">
        <f ca="1">IFERROR(__xludf.DUMMYFUNCTION("AI(""Peux-tu classifier le mot-clé dans la colonne A sur base d'une des trois catégories suivantes: Cuisine,Salle de bains, Intérieur &amp; sur-mesure "")"),"Salle de bains")</f>
        <v>Salle de bains</v>
      </c>
      <c r="L255" s="1" t="s">
        <v>18</v>
      </c>
      <c r="M255" s="1" t="s">
        <v>18</v>
      </c>
      <c r="O255" s="1" t="s">
        <v>392</v>
      </c>
      <c r="P255" s="1" t="s">
        <v>20</v>
      </c>
    </row>
    <row r="256" spans="1:16" ht="13" x14ac:dyDescent="0.15">
      <c r="A256" s="1" t="s">
        <v>400</v>
      </c>
      <c r="B256" s="1">
        <v>390</v>
      </c>
      <c r="C256" s="1" t="s">
        <v>72</v>
      </c>
      <c r="D256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56" s="1" t="s">
        <v>18</v>
      </c>
      <c r="M256" s="1" t="s">
        <v>18</v>
      </c>
      <c r="O256" s="1" t="s">
        <v>39</v>
      </c>
      <c r="P256" s="1" t="s">
        <v>20</v>
      </c>
    </row>
    <row r="257" spans="1:16" ht="13" x14ac:dyDescent="0.15">
      <c r="A257" s="1" t="s">
        <v>401</v>
      </c>
      <c r="B257" s="1">
        <v>390</v>
      </c>
      <c r="C257" s="1" t="s">
        <v>72</v>
      </c>
      <c r="D257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57" s="1" t="s">
        <v>18</v>
      </c>
      <c r="M257" s="1" t="s">
        <v>18</v>
      </c>
      <c r="O257" s="1" t="s">
        <v>179</v>
      </c>
      <c r="P257" s="1" t="s">
        <v>20</v>
      </c>
    </row>
    <row r="258" spans="1:16" ht="13" x14ac:dyDescent="0.15">
      <c r="A258" s="1" t="s">
        <v>402</v>
      </c>
      <c r="B258" s="1">
        <v>390</v>
      </c>
      <c r="C258" s="1" t="s">
        <v>72</v>
      </c>
      <c r="D258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58" s="1" t="s">
        <v>18</v>
      </c>
      <c r="M258" s="1" t="s">
        <v>18</v>
      </c>
      <c r="O258" s="1" t="s">
        <v>291</v>
      </c>
      <c r="P258" s="1" t="s">
        <v>72</v>
      </c>
    </row>
    <row r="259" spans="1:16" ht="13" x14ac:dyDescent="0.15">
      <c r="A259" s="1" t="s">
        <v>403</v>
      </c>
      <c r="B259" s="1">
        <v>390</v>
      </c>
      <c r="C259" s="1" t="s">
        <v>72</v>
      </c>
      <c r="D259" s="1" t="str">
        <f ca="1">IFERROR(__xludf.DUMMYFUNCTION("AI(""Peux-tu classifier le mot-clé dans la colonne A sur base d'une des trois catégories suivantes: Cuisine,Salle de bains, Intérieur &amp; sur-mesure "")"),"Salle de bains")</f>
        <v>Salle de bains</v>
      </c>
      <c r="L259" s="1" t="s">
        <v>18</v>
      </c>
      <c r="M259" s="1" t="s">
        <v>18</v>
      </c>
      <c r="O259" s="1" t="s">
        <v>136</v>
      </c>
      <c r="P259" s="1" t="s">
        <v>20</v>
      </c>
    </row>
    <row r="260" spans="1:16" ht="13" x14ac:dyDescent="0.15">
      <c r="A260" s="1" t="s">
        <v>404</v>
      </c>
      <c r="B260" s="1">
        <v>390</v>
      </c>
      <c r="C260" s="1" t="s">
        <v>72</v>
      </c>
      <c r="D260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60" s="1" t="s">
        <v>18</v>
      </c>
      <c r="M260" s="1" t="s">
        <v>18</v>
      </c>
      <c r="O260" s="1" t="s">
        <v>291</v>
      </c>
      <c r="P260" s="1" t="s">
        <v>72</v>
      </c>
    </row>
    <row r="261" spans="1:16" ht="13" x14ac:dyDescent="0.15">
      <c r="A261" s="1" t="s">
        <v>405</v>
      </c>
      <c r="B261" s="1">
        <v>390</v>
      </c>
      <c r="C261" s="1" t="s">
        <v>72</v>
      </c>
      <c r="D261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61" s="1" t="s">
        <v>18</v>
      </c>
      <c r="M261" s="1" t="s">
        <v>18</v>
      </c>
      <c r="O261" s="1" t="s">
        <v>406</v>
      </c>
      <c r="P261" s="1" t="s">
        <v>72</v>
      </c>
    </row>
    <row r="262" spans="1:16" ht="13" x14ac:dyDescent="0.15">
      <c r="A262" s="1" t="s">
        <v>407</v>
      </c>
      <c r="B262" s="1">
        <v>390</v>
      </c>
      <c r="C262" s="1" t="s">
        <v>72</v>
      </c>
      <c r="D262" s="1" t="str">
        <f ca="1">IFERROR(__xludf.DUMMYFUNCTION("AI(""Peux-tu classifier le mot-clé dans la colonne A sur base d'une des trois catégories suivantes: Cuisine,Salle de bains, Intérieur &amp; sur-mesure "")"),"Salle de bains")</f>
        <v>Salle de bains</v>
      </c>
      <c r="L262" s="1" t="s">
        <v>18</v>
      </c>
      <c r="M262" s="1" t="s">
        <v>18</v>
      </c>
      <c r="O262" s="1" t="s">
        <v>375</v>
      </c>
      <c r="P262" s="1" t="s">
        <v>20</v>
      </c>
    </row>
    <row r="263" spans="1:16" ht="13" x14ac:dyDescent="0.15">
      <c r="A263" s="1" t="s">
        <v>408</v>
      </c>
      <c r="B263" s="1">
        <v>390</v>
      </c>
      <c r="C263" s="1" t="s">
        <v>72</v>
      </c>
      <c r="D263" s="1" t="str">
        <f ca="1">IFERROR(__xludf.DUMMYFUNCTION("AI(""Peux-tu classifier le mot-clé dans la colonne A sur base d'une des trois catégories suivantes: Cuisine,Salle de bains, Intérieur &amp; sur-mesure "")"),"Salle de bains")</f>
        <v>Salle de bains</v>
      </c>
      <c r="L263" s="1" t="s">
        <v>18</v>
      </c>
      <c r="M263" s="1" t="s">
        <v>18</v>
      </c>
      <c r="O263" s="1" t="s">
        <v>136</v>
      </c>
      <c r="P263" s="1" t="s">
        <v>20</v>
      </c>
    </row>
    <row r="264" spans="1:16" ht="13" x14ac:dyDescent="0.15">
      <c r="A264" s="1" t="s">
        <v>409</v>
      </c>
      <c r="B264" s="1">
        <v>320</v>
      </c>
      <c r="C264" s="1" t="s">
        <v>72</v>
      </c>
      <c r="D264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64" s="1" t="s">
        <v>18</v>
      </c>
      <c r="M264" s="1" t="s">
        <v>18</v>
      </c>
      <c r="O264" s="1" t="s">
        <v>410</v>
      </c>
      <c r="P264" s="1" t="s">
        <v>20</v>
      </c>
    </row>
    <row r="265" spans="1:16" ht="13" x14ac:dyDescent="0.15">
      <c r="A265" s="1" t="s">
        <v>411</v>
      </c>
      <c r="B265" s="1">
        <v>320</v>
      </c>
      <c r="C265" s="1" t="s">
        <v>72</v>
      </c>
      <c r="D265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65" s="1" t="s">
        <v>18</v>
      </c>
      <c r="M265" s="1" t="s">
        <v>18</v>
      </c>
      <c r="O265" s="1" t="s">
        <v>412</v>
      </c>
      <c r="P265" s="1" t="s">
        <v>20</v>
      </c>
    </row>
    <row r="266" spans="1:16" ht="13" x14ac:dyDescent="0.15">
      <c r="A266" s="1" t="s">
        <v>413</v>
      </c>
      <c r="B266" s="1">
        <v>320</v>
      </c>
      <c r="C266" s="1" t="s">
        <v>72</v>
      </c>
      <c r="D266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66" s="1" t="s">
        <v>18</v>
      </c>
      <c r="M266" s="1" t="s">
        <v>18</v>
      </c>
      <c r="O266" s="1" t="s">
        <v>414</v>
      </c>
      <c r="P266" s="1" t="s">
        <v>205</v>
      </c>
    </row>
    <row r="267" spans="1:16" ht="13" x14ac:dyDescent="0.15">
      <c r="A267" s="1" t="s">
        <v>415</v>
      </c>
      <c r="B267" s="1">
        <v>320</v>
      </c>
      <c r="C267" s="1" t="s">
        <v>72</v>
      </c>
      <c r="D267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67" s="1" t="s">
        <v>18</v>
      </c>
      <c r="M267" s="1" t="s">
        <v>18</v>
      </c>
      <c r="O267" s="1" t="s">
        <v>416</v>
      </c>
      <c r="P267" s="1" t="s">
        <v>205</v>
      </c>
    </row>
    <row r="268" spans="1:16" ht="13" x14ac:dyDescent="0.15">
      <c r="A268" s="1" t="s">
        <v>417</v>
      </c>
      <c r="B268" s="1">
        <v>260</v>
      </c>
      <c r="C268" s="1" t="s">
        <v>72</v>
      </c>
      <c r="D268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68" s="1" t="s">
        <v>18</v>
      </c>
      <c r="M268" s="1" t="s">
        <v>18</v>
      </c>
      <c r="O268" s="1" t="s">
        <v>418</v>
      </c>
      <c r="P268" s="1" t="s">
        <v>20</v>
      </c>
    </row>
    <row r="269" spans="1:16" ht="13" x14ac:dyDescent="0.15">
      <c r="A269" s="1" t="s">
        <v>419</v>
      </c>
      <c r="B269" s="1">
        <v>210</v>
      </c>
      <c r="C269" s="1" t="s">
        <v>72</v>
      </c>
      <c r="D269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69" s="1" t="s">
        <v>18</v>
      </c>
      <c r="M269" s="1" t="s">
        <v>18</v>
      </c>
      <c r="O269" s="1">
        <v>1</v>
      </c>
      <c r="P269" s="1" t="s">
        <v>20</v>
      </c>
    </row>
    <row r="270" spans="1:16" ht="13" x14ac:dyDescent="0.15">
      <c r="A270" s="1" t="s">
        <v>420</v>
      </c>
      <c r="B270" s="1">
        <v>210</v>
      </c>
      <c r="C270" s="1" t="s">
        <v>72</v>
      </c>
      <c r="D270" s="1" t="str">
        <f ca="1">IFERROR(__xludf.DUMMYFUNCTION("AI(""Peux-tu classifier le mot-clé dans la colonne A sur base d'une des trois catégories suivantes: Cuisine,Salle de bains, Intérieur &amp; sur-mesure "")"),"Salle de bains")</f>
        <v>Salle de bains</v>
      </c>
      <c r="L270" s="1" t="s">
        <v>18</v>
      </c>
      <c r="M270" s="1" t="s">
        <v>18</v>
      </c>
      <c r="O270" s="1" t="s">
        <v>421</v>
      </c>
      <c r="P270" s="1" t="s">
        <v>20</v>
      </c>
    </row>
    <row r="271" spans="1:16" ht="13" x14ac:dyDescent="0.15">
      <c r="A271" s="1" t="s">
        <v>422</v>
      </c>
      <c r="B271" s="1">
        <v>210</v>
      </c>
      <c r="C271" s="1" t="s">
        <v>72</v>
      </c>
      <c r="D271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71" s="1" t="s">
        <v>18</v>
      </c>
      <c r="M271" s="1" t="s">
        <v>18</v>
      </c>
      <c r="O271" s="1" t="s">
        <v>423</v>
      </c>
      <c r="P271" s="1" t="s">
        <v>72</v>
      </c>
    </row>
    <row r="272" spans="1:16" ht="13" x14ac:dyDescent="0.15">
      <c r="A272" s="1" t="s">
        <v>424</v>
      </c>
      <c r="B272" s="1">
        <v>170</v>
      </c>
      <c r="C272" s="1" t="s">
        <v>72</v>
      </c>
      <c r="D272" s="1" t="str">
        <f ca="1">IFERROR(__xludf.DUMMYFUNCTION("AI(""Peux-tu classifier le mot-clé dans la colonne A sur base d'une des trois catégories suivantes: Cuisine,Salle de bains, Intérieur &amp; sur-mesure "")"),"Salle de bains")</f>
        <v>Salle de bains</v>
      </c>
      <c r="L272" s="1" t="s">
        <v>18</v>
      </c>
      <c r="M272" s="1" t="s">
        <v>18</v>
      </c>
      <c r="O272" s="1" t="s">
        <v>425</v>
      </c>
      <c r="P272" s="1" t="s">
        <v>20</v>
      </c>
    </row>
    <row r="273" spans="1:16" ht="13" x14ac:dyDescent="0.15">
      <c r="A273" s="1" t="s">
        <v>426</v>
      </c>
      <c r="B273" s="1">
        <v>170</v>
      </c>
      <c r="C273" s="1" t="s">
        <v>72</v>
      </c>
      <c r="D273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73" s="1" t="s">
        <v>18</v>
      </c>
      <c r="M273" s="1" t="s">
        <v>18</v>
      </c>
      <c r="O273" s="1" t="s">
        <v>427</v>
      </c>
      <c r="P273" s="1" t="s">
        <v>20</v>
      </c>
    </row>
    <row r="274" spans="1:16" ht="13" x14ac:dyDescent="0.15">
      <c r="A274" s="1" t="s">
        <v>428</v>
      </c>
      <c r="B274" s="1">
        <v>140</v>
      </c>
      <c r="C274" s="1" t="s">
        <v>72</v>
      </c>
      <c r="D274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74" s="1" t="s">
        <v>18</v>
      </c>
      <c r="M274" s="1" t="s">
        <v>18</v>
      </c>
      <c r="O274" s="1" t="s">
        <v>429</v>
      </c>
      <c r="P274" s="1" t="s">
        <v>20</v>
      </c>
    </row>
    <row r="275" spans="1:16" ht="13" x14ac:dyDescent="0.15">
      <c r="A275" s="1" t="s">
        <v>430</v>
      </c>
      <c r="B275" s="1">
        <v>140</v>
      </c>
      <c r="C275" s="1" t="s">
        <v>72</v>
      </c>
      <c r="D275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75" s="1" t="s">
        <v>18</v>
      </c>
      <c r="M275" s="1" t="s">
        <v>18</v>
      </c>
      <c r="O275" s="1" t="s">
        <v>431</v>
      </c>
      <c r="P275" s="1" t="s">
        <v>20</v>
      </c>
    </row>
    <row r="276" spans="1:16" ht="13" x14ac:dyDescent="0.15">
      <c r="A276" s="1" t="s">
        <v>432</v>
      </c>
      <c r="B276" s="1">
        <v>140</v>
      </c>
      <c r="C276" s="1" t="s">
        <v>72</v>
      </c>
      <c r="D276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76" s="1" t="s">
        <v>18</v>
      </c>
      <c r="M276" s="1" t="s">
        <v>18</v>
      </c>
      <c r="O276" s="1" t="s">
        <v>207</v>
      </c>
      <c r="P276" s="1" t="s">
        <v>20</v>
      </c>
    </row>
    <row r="277" spans="1:16" ht="13" x14ac:dyDescent="0.15">
      <c r="A277" s="1" t="s">
        <v>433</v>
      </c>
      <c r="B277" s="1">
        <v>110</v>
      </c>
      <c r="C277" s="1" t="s">
        <v>72</v>
      </c>
      <c r="D277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77" s="1" t="s">
        <v>18</v>
      </c>
      <c r="M277" s="1" t="s">
        <v>18</v>
      </c>
      <c r="O277" s="1" t="s">
        <v>434</v>
      </c>
      <c r="P277" s="1" t="s">
        <v>72</v>
      </c>
    </row>
    <row r="278" spans="1:16" ht="13" x14ac:dyDescent="0.15">
      <c r="A278" s="1" t="s">
        <v>435</v>
      </c>
      <c r="B278" s="1">
        <v>90</v>
      </c>
      <c r="C278" s="1" t="s">
        <v>205</v>
      </c>
      <c r="D278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H278" s="1">
        <v>17</v>
      </c>
      <c r="L278" s="1" t="s">
        <v>18</v>
      </c>
      <c r="M278" s="1" t="s">
        <v>18</v>
      </c>
      <c r="O278" s="1" t="s">
        <v>436</v>
      </c>
      <c r="P278" s="1" t="s">
        <v>20</v>
      </c>
    </row>
    <row r="279" spans="1:16" ht="13" x14ac:dyDescent="0.15">
      <c r="A279" s="1" t="s">
        <v>437</v>
      </c>
      <c r="B279" s="1">
        <v>90</v>
      </c>
      <c r="C279" s="1" t="s">
        <v>205</v>
      </c>
      <c r="D279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79" s="1" t="s">
        <v>18</v>
      </c>
      <c r="M279" s="1" t="s">
        <v>18</v>
      </c>
      <c r="O279" s="1" t="s">
        <v>438</v>
      </c>
      <c r="P279" s="1" t="s">
        <v>20</v>
      </c>
    </row>
    <row r="280" spans="1:16" ht="13" x14ac:dyDescent="0.15">
      <c r="A280" s="1" t="s">
        <v>439</v>
      </c>
      <c r="B280" s="1">
        <v>90</v>
      </c>
      <c r="C280" s="1" t="s">
        <v>205</v>
      </c>
      <c r="D280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80" s="1" t="s">
        <v>18</v>
      </c>
      <c r="M280" s="1" t="s">
        <v>18</v>
      </c>
      <c r="O280" s="1" t="s">
        <v>440</v>
      </c>
      <c r="P280" s="1" t="s">
        <v>20</v>
      </c>
    </row>
    <row r="281" spans="1:16" ht="13" x14ac:dyDescent="0.15">
      <c r="A281" s="1" t="s">
        <v>441</v>
      </c>
      <c r="B281" s="1">
        <v>90</v>
      </c>
      <c r="C281" s="1" t="s">
        <v>205</v>
      </c>
      <c r="D281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81" s="1" t="s">
        <v>18</v>
      </c>
      <c r="M281" s="1" t="s">
        <v>18</v>
      </c>
      <c r="O281" s="1" t="s">
        <v>414</v>
      </c>
      <c r="P281" s="1" t="s">
        <v>20</v>
      </c>
    </row>
    <row r="282" spans="1:16" ht="13" x14ac:dyDescent="0.15">
      <c r="A282" s="1" t="s">
        <v>442</v>
      </c>
      <c r="B282" s="1">
        <v>90</v>
      </c>
      <c r="C282" s="1" t="s">
        <v>205</v>
      </c>
      <c r="D282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82" s="1" t="s">
        <v>18</v>
      </c>
      <c r="M282" s="1" t="s">
        <v>18</v>
      </c>
      <c r="O282" s="1" t="s">
        <v>443</v>
      </c>
      <c r="P282" s="1" t="s">
        <v>72</v>
      </c>
    </row>
    <row r="283" spans="1:16" ht="13" x14ac:dyDescent="0.15">
      <c r="A283" s="1" t="s">
        <v>444</v>
      </c>
      <c r="B283" s="1">
        <v>90</v>
      </c>
      <c r="C283" s="1" t="s">
        <v>205</v>
      </c>
      <c r="D283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83" s="1" t="s">
        <v>18</v>
      </c>
      <c r="M283" s="1" t="s">
        <v>18</v>
      </c>
      <c r="O283" s="1" t="s">
        <v>445</v>
      </c>
      <c r="P283" s="1" t="s">
        <v>72</v>
      </c>
    </row>
    <row r="284" spans="1:16" ht="13" x14ac:dyDescent="0.15">
      <c r="A284" s="1" t="s">
        <v>446</v>
      </c>
      <c r="B284" s="1">
        <v>90</v>
      </c>
      <c r="C284" s="1" t="s">
        <v>205</v>
      </c>
      <c r="D284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84" s="1" t="s">
        <v>18</v>
      </c>
      <c r="M284" s="1" t="s">
        <v>18</v>
      </c>
      <c r="O284" s="1" t="s">
        <v>447</v>
      </c>
      <c r="P284" s="1" t="s">
        <v>20</v>
      </c>
    </row>
    <row r="285" spans="1:16" ht="13" x14ac:dyDescent="0.15">
      <c r="A285" s="1" t="s">
        <v>448</v>
      </c>
      <c r="B285" s="1">
        <v>70</v>
      </c>
      <c r="C285" s="1" t="s">
        <v>205</v>
      </c>
      <c r="D285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85" s="1" t="s">
        <v>18</v>
      </c>
      <c r="M285" s="1" t="s">
        <v>18</v>
      </c>
      <c r="O285" s="1" t="s">
        <v>449</v>
      </c>
      <c r="P285" s="1" t="s">
        <v>20</v>
      </c>
    </row>
    <row r="286" spans="1:16" ht="13" x14ac:dyDescent="0.15">
      <c r="A286" s="1" t="s">
        <v>450</v>
      </c>
      <c r="B286" s="1">
        <v>70</v>
      </c>
      <c r="C286" s="1" t="s">
        <v>205</v>
      </c>
      <c r="D286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86" s="1" t="s">
        <v>18</v>
      </c>
      <c r="M286" s="1" t="s">
        <v>18</v>
      </c>
      <c r="O286" s="1" t="s">
        <v>133</v>
      </c>
      <c r="P286" s="1" t="s">
        <v>72</v>
      </c>
    </row>
    <row r="287" spans="1:16" ht="13" x14ac:dyDescent="0.15">
      <c r="A287" s="1" t="s">
        <v>451</v>
      </c>
      <c r="B287" s="1">
        <v>70</v>
      </c>
      <c r="C287" s="1" t="s">
        <v>205</v>
      </c>
      <c r="D287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87" s="1" t="s">
        <v>18</v>
      </c>
      <c r="M287" s="1" t="s">
        <v>18</v>
      </c>
      <c r="O287" s="1" t="s">
        <v>98</v>
      </c>
      <c r="P287" s="1" t="s">
        <v>20</v>
      </c>
    </row>
    <row r="288" spans="1:16" ht="13" x14ac:dyDescent="0.15">
      <c r="A288" s="1" t="s">
        <v>452</v>
      </c>
      <c r="B288" s="1">
        <v>50</v>
      </c>
      <c r="C288" s="1" t="s">
        <v>205</v>
      </c>
      <c r="D288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88" s="1" t="s">
        <v>18</v>
      </c>
      <c r="M288" s="1" t="s">
        <v>18</v>
      </c>
      <c r="O288" s="1" t="s">
        <v>161</v>
      </c>
      <c r="P288" s="1" t="s">
        <v>20</v>
      </c>
    </row>
    <row r="289" spans="1:16" ht="13" x14ac:dyDescent="0.15">
      <c r="A289" s="1" t="s">
        <v>453</v>
      </c>
      <c r="B289" s="1">
        <v>50</v>
      </c>
      <c r="C289" s="1" t="s">
        <v>205</v>
      </c>
      <c r="D289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89" s="1" t="s">
        <v>18</v>
      </c>
      <c r="M289" s="1" t="s">
        <v>18</v>
      </c>
      <c r="O289" s="1" t="s">
        <v>454</v>
      </c>
      <c r="P289" s="1" t="s">
        <v>20</v>
      </c>
    </row>
    <row r="290" spans="1:16" ht="13" x14ac:dyDescent="0.15">
      <c r="A290" s="1" t="s">
        <v>455</v>
      </c>
      <c r="B290" s="1">
        <v>50</v>
      </c>
      <c r="C290" s="1" t="s">
        <v>205</v>
      </c>
      <c r="D290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90" s="1" t="s">
        <v>18</v>
      </c>
      <c r="M290" s="1" t="s">
        <v>18</v>
      </c>
      <c r="O290" s="1" t="s">
        <v>161</v>
      </c>
      <c r="P290" s="1" t="s">
        <v>20</v>
      </c>
    </row>
    <row r="291" spans="1:16" ht="13" x14ac:dyDescent="0.15">
      <c r="A291" s="1" t="s">
        <v>456</v>
      </c>
      <c r="B291" s="1">
        <v>40</v>
      </c>
      <c r="C291" s="1" t="s">
        <v>205</v>
      </c>
      <c r="D291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91" s="1" t="s">
        <v>18</v>
      </c>
      <c r="M291" s="1" t="s">
        <v>18</v>
      </c>
      <c r="O291" s="1" t="s">
        <v>457</v>
      </c>
      <c r="P291" s="1" t="s">
        <v>20</v>
      </c>
    </row>
    <row r="292" spans="1:16" ht="13" x14ac:dyDescent="0.15">
      <c r="A292" s="1" t="s">
        <v>458</v>
      </c>
      <c r="B292" s="1">
        <v>40</v>
      </c>
      <c r="C292" s="1" t="s">
        <v>205</v>
      </c>
      <c r="D292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H292" s="1">
        <v>5</v>
      </c>
      <c r="L292" s="1" t="s">
        <v>18</v>
      </c>
      <c r="M292" s="1" t="s">
        <v>18</v>
      </c>
      <c r="O292" s="1" t="s">
        <v>22</v>
      </c>
      <c r="P292" s="1" t="s">
        <v>20</v>
      </c>
    </row>
    <row r="293" spans="1:16" ht="13" x14ac:dyDescent="0.15">
      <c r="A293" s="1" t="s">
        <v>459</v>
      </c>
      <c r="B293" s="1">
        <v>30</v>
      </c>
      <c r="C293" s="1" t="s">
        <v>205</v>
      </c>
      <c r="D293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93" s="1" t="s">
        <v>18</v>
      </c>
      <c r="M293" s="1" t="s">
        <v>18</v>
      </c>
      <c r="O293" s="1">
        <v>0</v>
      </c>
      <c r="P293" s="1" t="s">
        <v>205</v>
      </c>
    </row>
    <row r="294" spans="1:16" ht="13" x14ac:dyDescent="0.15">
      <c r="A294" s="1" t="s">
        <v>460</v>
      </c>
      <c r="B294" s="1">
        <v>20</v>
      </c>
      <c r="C294" s="1" t="s">
        <v>205</v>
      </c>
      <c r="D294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94" s="1" t="s">
        <v>18</v>
      </c>
      <c r="M294" s="1" t="s">
        <v>18</v>
      </c>
      <c r="O294" s="1" t="s">
        <v>461</v>
      </c>
      <c r="P294" s="1" t="s">
        <v>20</v>
      </c>
    </row>
    <row r="295" spans="1:16" ht="13" x14ac:dyDescent="0.15">
      <c r="A295" s="1" t="s">
        <v>462</v>
      </c>
      <c r="B295" s="1">
        <v>10</v>
      </c>
      <c r="C295" s="1" t="s">
        <v>205</v>
      </c>
      <c r="D295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G295" s="1">
        <v>8</v>
      </c>
      <c r="H295" s="1">
        <v>6</v>
      </c>
      <c r="L295" s="1" t="s">
        <v>18</v>
      </c>
      <c r="M295" s="1" t="s">
        <v>18</v>
      </c>
      <c r="O295" s="1">
        <v>0</v>
      </c>
      <c r="P295" s="1" t="s">
        <v>72</v>
      </c>
    </row>
    <row r="296" spans="1:16" ht="13" x14ac:dyDescent="0.15">
      <c r="A296" s="1" t="s">
        <v>463</v>
      </c>
      <c r="B296" s="1">
        <v>10</v>
      </c>
      <c r="C296" s="1" t="s">
        <v>205</v>
      </c>
      <c r="D296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H296" s="1">
        <v>16</v>
      </c>
      <c r="L296" s="1" t="s">
        <v>18</v>
      </c>
      <c r="M296" s="1" t="s">
        <v>18</v>
      </c>
      <c r="O296" s="1" t="s">
        <v>464</v>
      </c>
      <c r="P296" s="1" t="s">
        <v>72</v>
      </c>
    </row>
    <row r="297" spans="1:16" ht="13" x14ac:dyDescent="0.15">
      <c r="A297" s="1" t="s">
        <v>465</v>
      </c>
      <c r="B297" s="1">
        <v>10</v>
      </c>
      <c r="C297" s="1" t="s">
        <v>205</v>
      </c>
      <c r="D297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97" s="1" t="s">
        <v>18</v>
      </c>
      <c r="M297" s="1" t="s">
        <v>18</v>
      </c>
      <c r="O297" s="1" t="s">
        <v>466</v>
      </c>
      <c r="P297" s="1" t="s">
        <v>20</v>
      </c>
    </row>
    <row r="298" spans="1:16" ht="13" x14ac:dyDescent="0.15">
      <c r="A298" s="1" t="s">
        <v>467</v>
      </c>
      <c r="B298" s="1">
        <v>10</v>
      </c>
      <c r="C298" s="1" t="s">
        <v>205</v>
      </c>
      <c r="D298" s="1" t="str">
        <f ca="1">IFERROR(__xludf.DUMMYFUNCTION("AI(""Peux-tu classifier le mot-clé dans la colonne A sur base d'une des trois catégories suivantes: Cuisine,Salle de bains, Intérieur &amp; sur-mesure "")"),"Salle de bains")</f>
        <v>Salle de bains</v>
      </c>
      <c r="L298" s="1" t="s">
        <v>18</v>
      </c>
      <c r="M298" s="1" t="s">
        <v>18</v>
      </c>
      <c r="O298" s="1">
        <v>0</v>
      </c>
      <c r="P298" s="1" t="s">
        <v>72</v>
      </c>
    </row>
    <row r="299" spans="1:16" ht="13" x14ac:dyDescent="0.15">
      <c r="A299" s="1" t="s">
        <v>468</v>
      </c>
      <c r="B299" s="1">
        <v>10</v>
      </c>
      <c r="C299" s="1" t="s">
        <v>205</v>
      </c>
      <c r="D299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299" s="1" t="s">
        <v>18</v>
      </c>
      <c r="M299" s="1" t="s">
        <v>18</v>
      </c>
      <c r="O299" s="1" t="s">
        <v>345</v>
      </c>
      <c r="P299" s="1" t="s">
        <v>20</v>
      </c>
    </row>
    <row r="300" spans="1:16" ht="13" x14ac:dyDescent="0.15">
      <c r="A300" s="1" t="s">
        <v>469</v>
      </c>
      <c r="B300" s="1">
        <v>10</v>
      </c>
      <c r="C300" s="1" t="s">
        <v>205</v>
      </c>
      <c r="D300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300" s="1" t="s">
        <v>18</v>
      </c>
      <c r="M300" s="1" t="s">
        <v>18</v>
      </c>
      <c r="O300" s="1">
        <v>0</v>
      </c>
    </row>
    <row r="301" spans="1:16" ht="13" x14ac:dyDescent="0.15">
      <c r="A301" s="1" t="s">
        <v>470</v>
      </c>
      <c r="B301" s="1">
        <v>10</v>
      </c>
      <c r="C301" s="1" t="s">
        <v>205</v>
      </c>
      <c r="D301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G301" s="1">
        <v>24</v>
      </c>
      <c r="L301" s="1" t="s">
        <v>18</v>
      </c>
      <c r="M301" s="1" t="s">
        <v>18</v>
      </c>
      <c r="O301" s="1" t="s">
        <v>471</v>
      </c>
      <c r="P301" s="1" t="s">
        <v>72</v>
      </c>
    </row>
    <row r="302" spans="1:16" ht="13" x14ac:dyDescent="0.15">
      <c r="A302" s="1" t="s">
        <v>472</v>
      </c>
      <c r="B302" s="1">
        <v>10</v>
      </c>
      <c r="C302" s="1" t="s">
        <v>205</v>
      </c>
      <c r="D302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302" s="1" t="s">
        <v>18</v>
      </c>
      <c r="M302" s="1" t="s">
        <v>18</v>
      </c>
      <c r="O302" s="1" t="s">
        <v>473</v>
      </c>
      <c r="P302" s="1" t="s">
        <v>72</v>
      </c>
    </row>
    <row r="303" spans="1:16" ht="13" x14ac:dyDescent="0.15">
      <c r="A303" s="1" t="s">
        <v>474</v>
      </c>
      <c r="B303" s="1">
        <v>10</v>
      </c>
      <c r="C303" s="1" t="s">
        <v>205</v>
      </c>
      <c r="D303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303" s="1" t="s">
        <v>18</v>
      </c>
      <c r="M303" s="1" t="s">
        <v>18</v>
      </c>
      <c r="O303" s="1" t="s">
        <v>475</v>
      </c>
      <c r="P303" s="1" t="s">
        <v>20</v>
      </c>
    </row>
    <row r="304" spans="1:16" ht="13" x14ac:dyDescent="0.15">
      <c r="A304" s="1" t="s">
        <v>476</v>
      </c>
      <c r="B304" s="1">
        <v>10</v>
      </c>
      <c r="C304" s="1" t="s">
        <v>205</v>
      </c>
      <c r="D304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304" s="1" t="s">
        <v>18</v>
      </c>
      <c r="M304" s="1" t="s">
        <v>18</v>
      </c>
      <c r="O304" s="1" t="s">
        <v>477</v>
      </c>
      <c r="P304" s="1" t="s">
        <v>20</v>
      </c>
    </row>
    <row r="305" spans="1:16" ht="13" x14ac:dyDescent="0.15">
      <c r="A305" s="1" t="s">
        <v>478</v>
      </c>
      <c r="B305" s="1">
        <v>10</v>
      </c>
      <c r="C305" s="1" t="s">
        <v>205</v>
      </c>
      <c r="D305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305" s="1" t="s">
        <v>18</v>
      </c>
      <c r="M305" s="1" t="s">
        <v>18</v>
      </c>
      <c r="O305" s="1">
        <v>0</v>
      </c>
      <c r="P305" s="1" t="s">
        <v>205</v>
      </c>
    </row>
    <row r="306" spans="1:16" ht="13" x14ac:dyDescent="0.15">
      <c r="A306" s="1" t="s">
        <v>479</v>
      </c>
      <c r="B306" s="1">
        <v>10</v>
      </c>
      <c r="C306" s="1" t="s">
        <v>205</v>
      </c>
      <c r="D306" s="1" t="str">
        <f ca="1">IFERROR(__xludf.DUMMYFUNCTION("AI(""Peux-tu classifier le mot-clé dans la colonne A sur base d'une des trois catégories suivantes: Cuisine,Salle de bains, Intérieur &amp; sur-mesure "")"),"Cuisine")</f>
        <v>Cuisine</v>
      </c>
      <c r="L306" s="1" t="s">
        <v>18</v>
      </c>
      <c r="M306" s="1" t="s">
        <v>18</v>
      </c>
      <c r="O306" s="1" t="s">
        <v>88</v>
      </c>
      <c r="P306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 Williame</cp:lastModifiedBy>
  <dcterms:modified xsi:type="dcterms:W3CDTF">2026-04-07T15:02:23Z</dcterms:modified>
</cp:coreProperties>
</file>